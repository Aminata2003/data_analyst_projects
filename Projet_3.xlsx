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13_ncr:1_{D53AB6ED-CF21-4405-933F-BFFED5CE26A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nswers_party_4" sheetId="2" r:id="rId1"/>
    <sheet name="data_analysis_answers_week3" sheetId="1" r:id="rId2"/>
  </sheets>
  <definedNames>
    <definedName name="_xlnm._FilterDatabase" localSheetId="1" hidden="1">data_analysis_answers_week3!$A$2:$A$521</definedName>
  </definedNames>
  <calcPr calcId="191029"/>
  <pivotCaches>
    <pivotCache cacheId="18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8" i="1"/>
  <c r="N7" i="1"/>
  <c r="N6" i="1"/>
  <c r="N5" i="1"/>
  <c r="N4" i="1" a="1"/>
  <c r="N4" i="1" s="1"/>
  <c r="N2" i="1"/>
  <c r="O2" i="1"/>
  <c r="M8" i="1"/>
  <c r="M7" i="1"/>
  <c r="M6" i="1"/>
  <c r="M5" i="1"/>
  <c r="M4" i="1" a="1"/>
  <c r="M4" i="1" s="1"/>
  <c r="M3" i="1"/>
  <c r="M2" i="1"/>
  <c r="I2" i="1"/>
  <c r="A560" i="1" a="1"/>
  <c r="A560" i="1" s="1"/>
  <c r="H3" i="1"/>
  <c r="A2" i="1"/>
  <c r="A2" i="1" a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<sst xmlns="http://schemas.openxmlformats.org/spreadsheetml/2006/main" count="1644" uniqueCount="77">
  <si>
    <t>Date</t>
  </si>
  <si>
    <t>Product</t>
  </si>
  <si>
    <t>Category</t>
  </si>
  <si>
    <t>Region</t>
  </si>
  <si>
    <t>Units Sold</t>
  </si>
  <si>
    <t>Unit Price</t>
  </si>
  <si>
    <t>Revenue</t>
  </si>
  <si>
    <t>Monitor</t>
  </si>
  <si>
    <t>Computing</t>
  </si>
  <si>
    <t>Port Harcourt</t>
  </si>
  <si>
    <t>Smartwatch</t>
  </si>
  <si>
    <t>Wearables</t>
  </si>
  <si>
    <t>Ibadan</t>
  </si>
  <si>
    <t>Tablet</t>
  </si>
  <si>
    <t>Enugu</t>
  </si>
  <si>
    <t>Printer</t>
  </si>
  <si>
    <t>Office Equipment</t>
  </si>
  <si>
    <t>Lagos</t>
  </si>
  <si>
    <t>Kano</t>
  </si>
  <si>
    <t>Laptop</t>
  </si>
  <si>
    <t>Abuja</t>
  </si>
  <si>
    <t>Headphones</t>
  </si>
  <si>
    <t>Accessories</t>
  </si>
  <si>
    <t>Smartphone</t>
  </si>
  <si>
    <t>Mobile</t>
  </si>
  <si>
    <t>1)number total of rows and columns</t>
  </si>
  <si>
    <t>3)unusual values</t>
  </si>
  <si>
    <t xml:space="preserve">2)check for missing </t>
  </si>
  <si>
    <t>4)duplicated values</t>
  </si>
  <si>
    <t>5)three key observations</t>
  </si>
  <si>
    <t>Nearly all sales (519 out of the total) occurred in January 2025.</t>
  </si>
  <si>
    <t>Most sales are concentrated in Lagos.</t>
  </si>
  <si>
    <t>6)calculate for Units sold</t>
  </si>
  <si>
    <t>7)calculate for Revenue</t>
  </si>
  <si>
    <t>The standard deviation (35.47) is very high compared to the mean (59.39) giving a coefficient of variation of about 60%.This indicates that sales are highly unstable, with large fluctuations across transactions</t>
  </si>
  <si>
    <t>8)calcul the range</t>
  </si>
  <si>
    <t>9)Total revenue by product(Pivot tables)</t>
  </si>
  <si>
    <t>Row Labels</t>
  </si>
  <si>
    <t>Grand Total</t>
  </si>
  <si>
    <t>Sum of Revenue</t>
  </si>
  <si>
    <t>Smartwatch are the best-selling product among all products.</t>
  </si>
  <si>
    <t>10))Total units sold by region(Pivot tables)</t>
  </si>
  <si>
    <t>Sum of Units Sold</t>
  </si>
  <si>
    <t>Average of Revenue</t>
  </si>
  <si>
    <t>11)Average  revenue by Category(Pivot tables)</t>
  </si>
  <si>
    <t>01-janv</t>
  </si>
  <si>
    <t>02-janv</t>
  </si>
  <si>
    <t>03-janv</t>
  </si>
  <si>
    <t>04-janv</t>
  </si>
  <si>
    <t>05-janv</t>
  </si>
  <si>
    <t>06-janv</t>
  </si>
  <si>
    <t>07-janv</t>
  </si>
  <si>
    <t>08-janv</t>
  </si>
  <si>
    <t>09-janv</t>
  </si>
  <si>
    <t>10-janv</t>
  </si>
  <si>
    <t>11-janv</t>
  </si>
  <si>
    <t>12-janv</t>
  </si>
  <si>
    <t>13-janv</t>
  </si>
  <si>
    <t>14-janv</t>
  </si>
  <si>
    <t>15-janv</t>
  </si>
  <si>
    <t>16-janv</t>
  </si>
  <si>
    <t>17-janv</t>
  </si>
  <si>
    <t>18-janv</t>
  </si>
  <si>
    <t>19-janv</t>
  </si>
  <si>
    <t>20-janv</t>
  </si>
  <si>
    <t>21-janv</t>
  </si>
  <si>
    <t>22-janv</t>
  </si>
  <si>
    <t>23-janv</t>
  </si>
  <si>
    <t>24-janv</t>
  </si>
  <si>
    <t>25-janv</t>
  </si>
  <si>
    <t>26-janv</t>
  </si>
  <si>
    <t>27-janv</t>
  </si>
  <si>
    <t>28-janv</t>
  </si>
  <si>
    <t>29-janv</t>
  </si>
  <si>
    <t>30-janv</t>
  </si>
  <si>
    <t>31-janv</t>
  </si>
  <si>
    <t>One row contains an invalid/corrupted date (displayed as '00/01/1900')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</si>
</sst>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[folder_submit_week3.xlsx]answers_party_4!PivotTable1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answers_party_4!$B$3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answers_party_4!$A$4:$A$11</c:f>
              <c:strCache>
                <c:ptCount val="7"/>
                <c:pt idx="0">
                  <c:v>Headphones</c:v>
                </c:pt>
                <c:pt idx="1">
                  <c:v>Laptop</c:v>
                </c:pt>
                <c:pt idx="2">
                  <c:v>Monitor</c:v>
                </c:pt>
                <c:pt idx="3">
                  <c:v>Printer</c:v>
                </c:pt>
                <c:pt idx="4">
                  <c:v>Smartphone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answers_party_4!$B$4:$B$11</c:f>
              <c:numCache>
                <c:formatCode>General</c:formatCode>
                <c:ptCount val="7"/>
                <c:pt idx="0">
                  <c:v>1176573654</c:v>
                </c:pt>
                <c:pt idx="1">
                  <c:v>1341534456</c:v>
                </c:pt>
                <c:pt idx="2">
                  <c:v>949592469</c:v>
                </c:pt>
                <c:pt idx="3">
                  <c:v>1066828047</c:v>
                </c:pt>
                <c:pt idx="4">
                  <c:v>1333884073</c:v>
                </c:pt>
                <c:pt idx="5">
                  <c:v>1449772431</c:v>
                </c:pt>
                <c:pt idx="6">
                  <c:v>1210134262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A-4001-86A4-44A9A4D55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778192"/>
        <c:axId val="1499783472"/>
      </c:barChart>
      <c:catAx>
        <c:axId val="14997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83472"/>
        <c:crosses val="autoZero"/>
        <c:auto val="1"/>
        <c:lblAlgn val="ctr"/>
        <c:lblOffset val="100"/>
        <c:noMultiLvlLbl val="0"/>
      </c:catAx>
      <c:valAx>
        <c:axId val="149978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7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[folder_submit_week3.xlsx]answers_party_4!PivotTable2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Units Sold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answers_party_4!$F$4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answers_party_4!$E$5:$E$11</c:f>
              <c:strCache>
                <c:ptCount val="6"/>
                <c:pt idx="0">
                  <c:v>Abuja</c:v>
                </c:pt>
                <c:pt idx="1">
                  <c:v>Enugu</c:v>
                </c:pt>
                <c:pt idx="2">
                  <c:v>Ibadan</c:v>
                </c:pt>
                <c:pt idx="3">
                  <c:v>Kano</c:v>
                </c:pt>
                <c:pt idx="4">
                  <c:v>Lagos</c:v>
                </c:pt>
                <c:pt idx="5">
                  <c:v>Port Harcourt</c:v>
                </c:pt>
              </c:strCache>
            </c:strRef>
          </c:cat>
          <c:val>
            <c:numRef>
              <c:f>answers_party_4!$F$5:$F$11</c:f>
              <c:numCache>
                <c:formatCode>General</c:formatCode>
                <c:ptCount val="6"/>
                <c:pt idx="0">
                  <c:v>5922</c:v>
                </c:pt>
                <c:pt idx="1">
                  <c:v>5093</c:v>
                </c:pt>
                <c:pt idx="2">
                  <c:v>4801</c:v>
                </c:pt>
                <c:pt idx="3">
                  <c:v>4549</c:v>
                </c:pt>
                <c:pt idx="4">
                  <c:v>6498</c:v>
                </c:pt>
                <c:pt idx="5">
                  <c:v>4019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0-48BE-9BB3-39FBE4B5C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2986928"/>
        <c:axId val="1512975888"/>
      </c:barChart>
      <c:catAx>
        <c:axId val="151298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75888"/>
        <c:crosses val="autoZero"/>
        <c:auto val="1"/>
        <c:lblAlgn val="ctr"/>
        <c:lblOffset val="100"/>
        <c:noMultiLvlLbl val="0"/>
      </c:catAx>
      <c:valAx>
        <c:axId val="15129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9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45800524934383"/>
          <c:y val="0.86152777777777778"/>
          <c:w val="0.10154194208869959"/>
          <c:h val="7.7312627588218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[folder_submit_week3.xlsx]answers_party_4!PivotTable4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Trend (January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answers_party_4!$N$4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answers_party_4!$M$5:$M$36</c:f>
              <c:strCache>
                <c:ptCount val="31"/>
                <c:pt idx="0">
                  <c:v>01-janv</c:v>
                </c:pt>
                <c:pt idx="1">
                  <c:v>02-janv</c:v>
                </c:pt>
                <c:pt idx="2">
                  <c:v>03-janv</c:v>
                </c:pt>
                <c:pt idx="3">
                  <c:v>04-janv</c:v>
                </c:pt>
                <c:pt idx="4">
                  <c:v>05-janv</c:v>
                </c:pt>
                <c:pt idx="5">
                  <c:v>06-janv</c:v>
                </c:pt>
                <c:pt idx="6">
                  <c:v>07-janv</c:v>
                </c:pt>
                <c:pt idx="7">
                  <c:v>08-janv</c:v>
                </c:pt>
                <c:pt idx="8">
                  <c:v>09-janv</c:v>
                </c:pt>
                <c:pt idx="9">
                  <c:v>10-janv</c:v>
                </c:pt>
                <c:pt idx="10">
                  <c:v>11-janv</c:v>
                </c:pt>
                <c:pt idx="11">
                  <c:v>12-janv</c:v>
                </c:pt>
                <c:pt idx="12">
                  <c:v>13-janv</c:v>
                </c:pt>
                <c:pt idx="13">
                  <c:v>14-janv</c:v>
                </c:pt>
                <c:pt idx="14">
                  <c:v>15-janv</c:v>
                </c:pt>
                <c:pt idx="15">
                  <c:v>16-janv</c:v>
                </c:pt>
                <c:pt idx="16">
                  <c:v>17-janv</c:v>
                </c:pt>
                <c:pt idx="17">
                  <c:v>18-janv</c:v>
                </c:pt>
                <c:pt idx="18">
                  <c:v>19-janv</c:v>
                </c:pt>
                <c:pt idx="19">
                  <c:v>20-janv</c:v>
                </c:pt>
                <c:pt idx="20">
                  <c:v>21-janv</c:v>
                </c:pt>
                <c:pt idx="21">
                  <c:v>22-janv</c:v>
                </c:pt>
                <c:pt idx="22">
                  <c:v>23-janv</c:v>
                </c:pt>
                <c:pt idx="23">
                  <c:v>24-janv</c:v>
                </c:pt>
                <c:pt idx="24">
                  <c:v>25-janv</c:v>
                </c:pt>
                <c:pt idx="25">
                  <c:v>26-janv</c:v>
                </c:pt>
                <c:pt idx="26">
                  <c:v>27-janv</c:v>
                </c:pt>
                <c:pt idx="27">
                  <c:v>28-janv</c:v>
                </c:pt>
                <c:pt idx="28">
                  <c:v>29-janv</c:v>
                </c:pt>
                <c:pt idx="29">
                  <c:v>30-janv</c:v>
                </c:pt>
                <c:pt idx="30">
                  <c:v>31-janv</c:v>
                </c:pt>
              </c:strCache>
            </c:strRef>
          </c:cat>
          <c:val>
            <c:numRef>
              <c:f>answers_party_4!$N$5:$N$36</c:f>
              <c:numCache>
                <c:formatCode>General</c:formatCode>
                <c:ptCount val="31"/>
                <c:pt idx="0">
                  <c:v>272821207</c:v>
                </c:pt>
                <c:pt idx="1">
                  <c:v>419431713</c:v>
                </c:pt>
                <c:pt idx="2">
                  <c:v>298354242</c:v>
                </c:pt>
                <c:pt idx="3">
                  <c:v>241668172</c:v>
                </c:pt>
                <c:pt idx="4">
                  <c:v>238555024</c:v>
                </c:pt>
                <c:pt idx="5">
                  <c:v>298219460</c:v>
                </c:pt>
                <c:pt idx="6">
                  <c:v>331799464</c:v>
                </c:pt>
                <c:pt idx="7">
                  <c:v>314481826</c:v>
                </c:pt>
                <c:pt idx="8">
                  <c:v>280529709</c:v>
                </c:pt>
                <c:pt idx="9">
                  <c:v>148416539</c:v>
                </c:pt>
                <c:pt idx="10">
                  <c:v>183485132</c:v>
                </c:pt>
                <c:pt idx="11">
                  <c:v>123250305</c:v>
                </c:pt>
                <c:pt idx="12">
                  <c:v>269059308</c:v>
                </c:pt>
                <c:pt idx="13">
                  <c:v>133453241</c:v>
                </c:pt>
                <c:pt idx="14">
                  <c:v>362873277</c:v>
                </c:pt>
                <c:pt idx="15">
                  <c:v>182459034</c:v>
                </c:pt>
                <c:pt idx="16">
                  <c:v>352115166</c:v>
                </c:pt>
                <c:pt idx="17">
                  <c:v>340161292</c:v>
                </c:pt>
                <c:pt idx="18">
                  <c:v>567455442</c:v>
                </c:pt>
                <c:pt idx="19">
                  <c:v>159006419</c:v>
                </c:pt>
                <c:pt idx="20">
                  <c:v>351368915</c:v>
                </c:pt>
                <c:pt idx="21">
                  <c:v>243443188</c:v>
                </c:pt>
                <c:pt idx="22">
                  <c:v>290493672</c:v>
                </c:pt>
                <c:pt idx="23">
                  <c:v>211654687</c:v>
                </c:pt>
                <c:pt idx="24">
                  <c:v>350079323</c:v>
                </c:pt>
                <c:pt idx="25">
                  <c:v>361502969</c:v>
                </c:pt>
                <c:pt idx="26">
                  <c:v>280830175</c:v>
                </c:pt>
                <c:pt idx="27">
                  <c:v>215879635</c:v>
                </c:pt>
                <c:pt idx="28">
                  <c:v>137777681</c:v>
                </c:pt>
                <c:pt idx="29">
                  <c:v>391291066</c:v>
                </c:pt>
                <c:pt idx="30">
                  <c:v>169021645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B-4054-86AC-95CF4993C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811472"/>
        <c:axId val="1512813392"/>
      </c:lineChart>
      <c:catAx>
        <c:axId val="15128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13392"/>
        <c:crosses val="autoZero"/>
        <c:auto val="1"/>
        <c:lblAlgn val="ctr"/>
        <c:lblOffset val="100"/>
        <c:noMultiLvlLbl val="0"/>
      </c:catAx>
      <c:valAx>
        <c:axId val="15128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1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269875</xdr:colOff>
      <xdr:row>12</xdr:row>
      <xdr:rowOff>25400</xdr:rowOff>
    </xdr:from>
    <xdr:to>
      <xdr:col>3</xdr:col>
      <xdr:colOff>142875</xdr:colOff>
      <xdr:row>29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66B62-2B21-28B7-54D5-9CB062874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282575</xdr:colOff>
      <xdr:row>11</xdr:row>
      <xdr:rowOff>95250</xdr:rowOff>
    </xdr:from>
    <xdr:to>
      <xdr:col>8</xdr:col>
      <xdr:colOff>358775</xdr:colOff>
      <xdr:row>28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F3033-DC2A-DAB3-F7B0-3FBF26279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120650</xdr:colOff>
      <xdr:row>4</xdr:row>
      <xdr:rowOff>127000</xdr:rowOff>
    </xdr:from>
    <xdr:to>
      <xdr:col>21</xdr:col>
      <xdr:colOff>425450</xdr:colOff>
      <xdr:row>22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3D605D-1AA6-67EA-9E4E-25CF6A7C3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6350</xdr:colOff>
      <xdr:row>3</xdr:row>
      <xdr:rowOff>12700</xdr:rowOff>
    </xdr:from>
    <xdr:to>
      <xdr:col>11</xdr:col>
      <xdr:colOff>38100</xdr:colOff>
      <xdr:row>8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BAE43A-FC20-CD67-F468-68C29BB7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0" y="603250"/>
          <a:ext cx="1263650" cy="1047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6221.874432523146" createdVersion="8" refreshedVersion="8" minRefreshableVersion="3" recordCount="520" xr:uid="{E7F40712-BA37-4CD9-BC44-8AE9180BAB49}">
  <cacheSource type="worksheet">
    <worksheetSource ref="A1:G521" sheet="data_analysis_answers_week3"/>
  </cacheSource>
  <cacheFields count="8">
    <cacheField name="Date" numFmtId="164">
      <sharedItems containsSemiMixedTypes="0" containsNonDate="0" containsDate="1" containsString="0" minDate="1899-12-30T00:00:00" maxDate="2025-02-01T00:00:00" count="32">
        <d v="1899-12-30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</sharedItems>
      <fieldGroup par="7"/>
    </cacheField>
    <cacheField name="Product" numFmtId="0">
      <sharedItems count="7">
        <s v="Headphones"/>
        <s v="Laptop"/>
        <s v="Monitor"/>
        <s v="Printer"/>
        <s v="Smartphone"/>
        <s v="Smartwatch"/>
        <s v="Tablet"/>
      </sharedItems>
    </cacheField>
    <cacheField name="Category" numFmtId="0">
      <sharedItems count="5">
        <s v="Computing"/>
        <s v="Wearables"/>
        <s v="Office Equipment"/>
        <s v="Accessories"/>
        <s v="Mobile"/>
      </sharedItems>
    </cacheField>
    <cacheField name="Region" numFmtId="0">
      <sharedItems count="6">
        <s v="Port Harcourt"/>
        <s v="Ibadan"/>
        <s v="Enugu"/>
        <s v="Lagos"/>
        <s v="Kano"/>
        <s v="Abuja"/>
      </sharedItems>
    </cacheField>
    <cacheField name="Units Sold" numFmtId="0">
      <sharedItems containsSemiMixedTypes="0" containsString="0" containsNumber="1" containsInteger="1" minValue="1" maxValue="119"/>
    </cacheField>
    <cacheField name="Unit Price" numFmtId="0">
      <sharedItems containsSemiMixedTypes="0" containsString="0" containsNumber="1" containsInteger="1" minValue="10126" maxValue="549812"/>
    </cacheField>
    <cacheField name="Revenue" numFmtId="0">
      <sharedItems containsSemiMixedTypes="0" containsString="0" containsNumber="1" containsInteger="1" minValue="93414" maxValue="60334716"/>
    </cacheField>
    <cacheField name="Days (Date)" numFmtId="0" databaseField="0">
      <fieldGroup base="0">
        <rangePr groupBy="days" startDate="1899-12-30T00:00:00" endDate="2025-02-01T00:00:00"/>
        <groupItems count="368">
          <s v="&lt;00/01/1900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0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">
  <r>
    <x v="0"/>
    <x v="0"/>
    <x v="0"/>
    <x v="0"/>
    <n v="52"/>
    <n v="141932"/>
    <n v="7380464"/>
  </r>
  <r>
    <x v="1"/>
    <x v="0"/>
    <x v="1"/>
    <x v="0"/>
    <n v="21"/>
    <n v="64886"/>
    <n v="1362606"/>
  </r>
  <r>
    <x v="1"/>
    <x v="0"/>
    <x v="0"/>
    <x v="1"/>
    <n v="75"/>
    <n v="97498"/>
    <n v="7312350"/>
  </r>
  <r>
    <x v="1"/>
    <x v="0"/>
    <x v="0"/>
    <x v="2"/>
    <n v="104"/>
    <n v="288167"/>
    <n v="29969368"/>
  </r>
  <r>
    <x v="1"/>
    <x v="0"/>
    <x v="1"/>
    <x v="2"/>
    <n v="2"/>
    <n v="331879"/>
    <n v="663758"/>
  </r>
  <r>
    <x v="1"/>
    <x v="0"/>
    <x v="2"/>
    <x v="3"/>
    <n v="2"/>
    <n v="113355"/>
    <n v="226710"/>
  </r>
  <r>
    <x v="1"/>
    <x v="0"/>
    <x v="0"/>
    <x v="4"/>
    <n v="58"/>
    <n v="431909"/>
    <n v="25050722"/>
  </r>
  <r>
    <x v="1"/>
    <x v="0"/>
    <x v="0"/>
    <x v="5"/>
    <n v="49"/>
    <n v="510186"/>
    <n v="24999114"/>
  </r>
  <r>
    <x v="1"/>
    <x v="0"/>
    <x v="0"/>
    <x v="2"/>
    <n v="60"/>
    <n v="462366"/>
    <n v="27741960"/>
  </r>
  <r>
    <x v="1"/>
    <x v="0"/>
    <x v="0"/>
    <x v="3"/>
    <n v="62"/>
    <n v="329030"/>
    <n v="20399860"/>
  </r>
  <r>
    <x v="1"/>
    <x v="0"/>
    <x v="3"/>
    <x v="1"/>
    <n v="101"/>
    <n v="538178"/>
    <n v="54355978"/>
  </r>
  <r>
    <x v="1"/>
    <x v="0"/>
    <x v="0"/>
    <x v="3"/>
    <n v="39"/>
    <n v="359457"/>
    <n v="14018823"/>
  </r>
  <r>
    <x v="1"/>
    <x v="0"/>
    <x v="0"/>
    <x v="3"/>
    <n v="14"/>
    <n v="215041"/>
    <n v="3010574"/>
  </r>
  <r>
    <x v="1"/>
    <x v="0"/>
    <x v="4"/>
    <x v="4"/>
    <n v="53"/>
    <n v="261995"/>
    <n v="13885735"/>
  </r>
  <r>
    <x v="1"/>
    <x v="0"/>
    <x v="0"/>
    <x v="0"/>
    <n v="44"/>
    <n v="266508"/>
    <n v="11726352"/>
  </r>
  <r>
    <x v="1"/>
    <x v="0"/>
    <x v="2"/>
    <x v="4"/>
    <n v="81"/>
    <n v="470337"/>
    <n v="38097297"/>
  </r>
  <r>
    <x v="2"/>
    <x v="0"/>
    <x v="4"/>
    <x v="2"/>
    <n v="6"/>
    <n v="351097"/>
    <n v="2106582"/>
  </r>
  <r>
    <x v="2"/>
    <x v="0"/>
    <x v="1"/>
    <x v="5"/>
    <n v="63"/>
    <n v="212283"/>
    <n v="13373829"/>
  </r>
  <r>
    <x v="2"/>
    <x v="0"/>
    <x v="2"/>
    <x v="2"/>
    <n v="100"/>
    <n v="545822"/>
    <n v="54582200"/>
  </r>
  <r>
    <x v="2"/>
    <x v="0"/>
    <x v="0"/>
    <x v="1"/>
    <n v="62"/>
    <n v="230884"/>
    <n v="14314808"/>
  </r>
  <r>
    <x v="2"/>
    <x v="0"/>
    <x v="4"/>
    <x v="5"/>
    <n v="111"/>
    <n v="543556"/>
    <n v="60334716"/>
  </r>
  <r>
    <x v="2"/>
    <x v="0"/>
    <x v="0"/>
    <x v="1"/>
    <n v="60"/>
    <n v="526588"/>
    <n v="31595280"/>
  </r>
  <r>
    <x v="2"/>
    <x v="0"/>
    <x v="0"/>
    <x v="3"/>
    <n v="45"/>
    <n v="386896"/>
    <n v="17410320"/>
  </r>
  <r>
    <x v="2"/>
    <x v="0"/>
    <x v="0"/>
    <x v="0"/>
    <n v="108"/>
    <n v="143767"/>
    <n v="15526836"/>
  </r>
  <r>
    <x v="2"/>
    <x v="0"/>
    <x v="3"/>
    <x v="3"/>
    <n v="81"/>
    <n v="23986"/>
    <n v="1942866"/>
  </r>
  <r>
    <x v="2"/>
    <x v="0"/>
    <x v="3"/>
    <x v="5"/>
    <n v="5"/>
    <n v="144633"/>
    <n v="723165"/>
  </r>
  <r>
    <x v="2"/>
    <x v="0"/>
    <x v="0"/>
    <x v="4"/>
    <n v="28"/>
    <n v="294806"/>
    <n v="8254568"/>
  </r>
  <r>
    <x v="2"/>
    <x v="0"/>
    <x v="4"/>
    <x v="2"/>
    <n v="33"/>
    <n v="361279"/>
    <n v="11922207"/>
  </r>
  <r>
    <x v="2"/>
    <x v="0"/>
    <x v="1"/>
    <x v="0"/>
    <n v="99"/>
    <n v="466551"/>
    <n v="46188549"/>
  </r>
  <r>
    <x v="2"/>
    <x v="0"/>
    <x v="3"/>
    <x v="2"/>
    <n v="65"/>
    <n v="501234"/>
    <n v="32580210"/>
  </r>
  <r>
    <x v="2"/>
    <x v="0"/>
    <x v="3"/>
    <x v="2"/>
    <n v="1"/>
    <n v="224020"/>
    <n v="224020"/>
  </r>
  <r>
    <x v="2"/>
    <x v="0"/>
    <x v="0"/>
    <x v="5"/>
    <n v="27"/>
    <n v="129176"/>
    <n v="3487752"/>
  </r>
  <r>
    <x v="2"/>
    <x v="0"/>
    <x v="4"/>
    <x v="3"/>
    <n v="77"/>
    <n v="263618"/>
    <n v="20298586"/>
  </r>
  <r>
    <x v="2"/>
    <x v="0"/>
    <x v="0"/>
    <x v="1"/>
    <n v="96"/>
    <n v="421357"/>
    <n v="40450272"/>
  </r>
  <r>
    <x v="2"/>
    <x v="0"/>
    <x v="0"/>
    <x v="0"/>
    <n v="43"/>
    <n v="174899"/>
    <n v="7520657"/>
  </r>
  <r>
    <x v="2"/>
    <x v="0"/>
    <x v="3"/>
    <x v="5"/>
    <n v="86"/>
    <n v="425515"/>
    <n v="36594290"/>
  </r>
  <r>
    <x v="3"/>
    <x v="0"/>
    <x v="1"/>
    <x v="2"/>
    <n v="62"/>
    <n v="452296"/>
    <n v="28042352"/>
  </r>
  <r>
    <x v="3"/>
    <x v="0"/>
    <x v="0"/>
    <x v="2"/>
    <n v="28"/>
    <n v="210235"/>
    <n v="5886580"/>
  </r>
  <r>
    <x v="3"/>
    <x v="0"/>
    <x v="2"/>
    <x v="4"/>
    <n v="75"/>
    <n v="298249"/>
    <n v="22368675"/>
  </r>
  <r>
    <x v="3"/>
    <x v="0"/>
    <x v="0"/>
    <x v="3"/>
    <n v="103"/>
    <n v="397261"/>
    <n v="40917883"/>
  </r>
  <r>
    <x v="3"/>
    <x v="0"/>
    <x v="0"/>
    <x v="4"/>
    <n v="27"/>
    <n v="464589"/>
    <n v="12543903"/>
  </r>
  <r>
    <x v="3"/>
    <x v="0"/>
    <x v="1"/>
    <x v="2"/>
    <n v="105"/>
    <n v="412690"/>
    <n v="43332450"/>
  </r>
  <r>
    <x v="3"/>
    <x v="0"/>
    <x v="3"/>
    <x v="5"/>
    <n v="9"/>
    <n v="238576"/>
    <n v="2147184"/>
  </r>
  <r>
    <x v="3"/>
    <x v="0"/>
    <x v="0"/>
    <x v="2"/>
    <n v="24"/>
    <n v="175838"/>
    <n v="4220112"/>
  </r>
  <r>
    <x v="3"/>
    <x v="0"/>
    <x v="0"/>
    <x v="3"/>
    <n v="52"/>
    <n v="457600"/>
    <n v="23795200"/>
  </r>
  <r>
    <x v="3"/>
    <x v="0"/>
    <x v="4"/>
    <x v="5"/>
    <n v="52"/>
    <n v="224283"/>
    <n v="11662716"/>
  </r>
  <r>
    <x v="3"/>
    <x v="0"/>
    <x v="3"/>
    <x v="3"/>
    <n v="113"/>
    <n v="103264"/>
    <n v="11668832"/>
  </r>
  <r>
    <x v="3"/>
    <x v="0"/>
    <x v="4"/>
    <x v="3"/>
    <n v="2"/>
    <n v="404070"/>
    <n v="808140"/>
  </r>
  <r>
    <x v="3"/>
    <x v="0"/>
    <x v="0"/>
    <x v="1"/>
    <n v="19"/>
    <n v="187789"/>
    <n v="3567991"/>
  </r>
  <r>
    <x v="3"/>
    <x v="0"/>
    <x v="0"/>
    <x v="4"/>
    <n v="90"/>
    <n v="245167"/>
    <n v="22065030"/>
  </r>
  <r>
    <x v="3"/>
    <x v="0"/>
    <x v="0"/>
    <x v="3"/>
    <n v="75"/>
    <n v="119751"/>
    <n v="8981325"/>
  </r>
  <r>
    <x v="3"/>
    <x v="0"/>
    <x v="0"/>
    <x v="4"/>
    <n v="38"/>
    <n v="471079"/>
    <n v="17901002"/>
  </r>
  <r>
    <x v="3"/>
    <x v="0"/>
    <x v="4"/>
    <x v="3"/>
    <n v="70"/>
    <n v="120078"/>
    <n v="8405460"/>
  </r>
  <r>
    <x v="3"/>
    <x v="0"/>
    <x v="0"/>
    <x v="0"/>
    <n v="59"/>
    <n v="61663"/>
    <n v="3638117"/>
  </r>
  <r>
    <x v="3"/>
    <x v="0"/>
    <x v="0"/>
    <x v="5"/>
    <n v="59"/>
    <n v="122547"/>
    <n v="7230273"/>
  </r>
  <r>
    <x v="3"/>
    <x v="0"/>
    <x v="3"/>
    <x v="4"/>
    <n v="19"/>
    <n v="152483"/>
    <n v="2897177"/>
  </r>
  <r>
    <x v="3"/>
    <x v="0"/>
    <x v="0"/>
    <x v="5"/>
    <n v="33"/>
    <n v="487095"/>
    <n v="16074135"/>
  </r>
  <r>
    <x v="3"/>
    <x v="0"/>
    <x v="0"/>
    <x v="3"/>
    <n v="11"/>
    <n v="18155"/>
    <n v="199705"/>
  </r>
  <r>
    <x v="4"/>
    <x v="0"/>
    <x v="4"/>
    <x v="5"/>
    <n v="23"/>
    <n v="157718"/>
    <n v="3627514"/>
  </r>
  <r>
    <x v="4"/>
    <x v="0"/>
    <x v="0"/>
    <x v="5"/>
    <n v="116"/>
    <n v="480587"/>
    <n v="55748092"/>
  </r>
  <r>
    <x v="4"/>
    <x v="0"/>
    <x v="0"/>
    <x v="1"/>
    <n v="48"/>
    <n v="385037"/>
    <n v="18481776"/>
  </r>
  <r>
    <x v="4"/>
    <x v="0"/>
    <x v="1"/>
    <x v="3"/>
    <n v="32"/>
    <n v="202506"/>
    <n v="6480192"/>
  </r>
  <r>
    <x v="4"/>
    <x v="0"/>
    <x v="0"/>
    <x v="0"/>
    <n v="99"/>
    <n v="549439"/>
    <n v="54394461"/>
  </r>
  <r>
    <x v="4"/>
    <x v="0"/>
    <x v="0"/>
    <x v="4"/>
    <n v="24"/>
    <n v="398215"/>
    <n v="9557160"/>
  </r>
  <r>
    <x v="4"/>
    <x v="0"/>
    <x v="3"/>
    <x v="2"/>
    <n v="113"/>
    <n v="42711"/>
    <n v="4826343"/>
  </r>
  <r>
    <x v="4"/>
    <x v="0"/>
    <x v="0"/>
    <x v="5"/>
    <n v="99"/>
    <n v="143272"/>
    <n v="14183928"/>
  </r>
  <r>
    <x v="4"/>
    <x v="0"/>
    <x v="2"/>
    <x v="0"/>
    <n v="82"/>
    <n v="87505"/>
    <n v="7175410"/>
  </r>
  <r>
    <x v="4"/>
    <x v="0"/>
    <x v="1"/>
    <x v="3"/>
    <n v="41"/>
    <n v="100272"/>
    <n v="4111152"/>
  </r>
  <r>
    <x v="4"/>
    <x v="1"/>
    <x v="2"/>
    <x v="0"/>
    <n v="21"/>
    <n v="490047"/>
    <n v="10290987"/>
  </r>
  <r>
    <x v="4"/>
    <x v="1"/>
    <x v="0"/>
    <x v="0"/>
    <n v="33"/>
    <n v="266687"/>
    <n v="8800671"/>
  </r>
  <r>
    <x v="4"/>
    <x v="1"/>
    <x v="3"/>
    <x v="2"/>
    <n v="86"/>
    <n v="291974"/>
    <n v="25109764"/>
  </r>
  <r>
    <x v="4"/>
    <x v="1"/>
    <x v="2"/>
    <x v="2"/>
    <n v="38"/>
    <n v="144508"/>
    <n v="5491304"/>
  </r>
  <r>
    <x v="4"/>
    <x v="1"/>
    <x v="3"/>
    <x v="3"/>
    <n v="27"/>
    <n v="370032"/>
    <n v="9990864"/>
  </r>
  <r>
    <x v="4"/>
    <x v="1"/>
    <x v="1"/>
    <x v="0"/>
    <n v="61"/>
    <n v="55714"/>
    <n v="3398554"/>
  </r>
  <r>
    <x v="5"/>
    <x v="1"/>
    <x v="0"/>
    <x v="1"/>
    <n v="17"/>
    <n v="134123"/>
    <n v="2280091"/>
  </r>
  <r>
    <x v="5"/>
    <x v="1"/>
    <x v="2"/>
    <x v="3"/>
    <n v="117"/>
    <n v="188274"/>
    <n v="22028058"/>
  </r>
  <r>
    <x v="5"/>
    <x v="1"/>
    <x v="1"/>
    <x v="0"/>
    <n v="24"/>
    <n v="141373"/>
    <n v="3392952"/>
  </r>
  <r>
    <x v="5"/>
    <x v="1"/>
    <x v="0"/>
    <x v="1"/>
    <n v="97"/>
    <n v="75726"/>
    <n v="7345422"/>
  </r>
  <r>
    <x v="5"/>
    <x v="1"/>
    <x v="0"/>
    <x v="5"/>
    <n v="33"/>
    <n v="128015"/>
    <n v="4224495"/>
  </r>
  <r>
    <x v="5"/>
    <x v="1"/>
    <x v="0"/>
    <x v="5"/>
    <n v="106"/>
    <n v="523758"/>
    <n v="55518348"/>
  </r>
  <r>
    <x v="5"/>
    <x v="1"/>
    <x v="3"/>
    <x v="5"/>
    <n v="104"/>
    <n v="455101"/>
    <n v="47330504"/>
  </r>
  <r>
    <x v="5"/>
    <x v="1"/>
    <x v="0"/>
    <x v="0"/>
    <n v="86"/>
    <n v="28070"/>
    <n v="2414020"/>
  </r>
  <r>
    <x v="5"/>
    <x v="1"/>
    <x v="4"/>
    <x v="3"/>
    <n v="2"/>
    <n v="186089"/>
    <n v="372178"/>
  </r>
  <r>
    <x v="5"/>
    <x v="1"/>
    <x v="0"/>
    <x v="1"/>
    <n v="43"/>
    <n v="508863"/>
    <n v="21881109"/>
  </r>
  <r>
    <x v="5"/>
    <x v="1"/>
    <x v="4"/>
    <x v="5"/>
    <n v="119"/>
    <n v="452905"/>
    <n v="53895695"/>
  </r>
  <r>
    <x v="5"/>
    <x v="1"/>
    <x v="0"/>
    <x v="3"/>
    <n v="24"/>
    <n v="229963"/>
    <n v="5519112"/>
  </r>
  <r>
    <x v="5"/>
    <x v="1"/>
    <x v="0"/>
    <x v="2"/>
    <n v="45"/>
    <n v="274512"/>
    <n v="12353040"/>
  </r>
  <r>
    <x v="6"/>
    <x v="1"/>
    <x v="2"/>
    <x v="4"/>
    <n v="76"/>
    <n v="458982"/>
    <n v="34882632"/>
  </r>
  <r>
    <x v="6"/>
    <x v="1"/>
    <x v="4"/>
    <x v="3"/>
    <n v="66"/>
    <n v="240229"/>
    <n v="15855114"/>
  </r>
  <r>
    <x v="6"/>
    <x v="1"/>
    <x v="4"/>
    <x v="5"/>
    <n v="63"/>
    <n v="294821"/>
    <n v="18573723"/>
  </r>
  <r>
    <x v="6"/>
    <x v="1"/>
    <x v="2"/>
    <x v="2"/>
    <n v="49"/>
    <n v="80313"/>
    <n v="3935337"/>
  </r>
  <r>
    <x v="6"/>
    <x v="1"/>
    <x v="3"/>
    <x v="1"/>
    <n v="60"/>
    <n v="123632"/>
    <n v="7417920"/>
  </r>
  <r>
    <x v="6"/>
    <x v="1"/>
    <x v="0"/>
    <x v="4"/>
    <n v="108"/>
    <n v="386836"/>
    <n v="41778288"/>
  </r>
  <r>
    <x v="6"/>
    <x v="1"/>
    <x v="2"/>
    <x v="2"/>
    <n v="109"/>
    <n v="199407"/>
    <n v="21735363"/>
  </r>
  <r>
    <x v="6"/>
    <x v="1"/>
    <x v="0"/>
    <x v="1"/>
    <n v="99"/>
    <n v="83523"/>
    <n v="8268777"/>
  </r>
  <r>
    <x v="6"/>
    <x v="1"/>
    <x v="4"/>
    <x v="0"/>
    <n v="106"/>
    <n v="232866"/>
    <n v="24683796"/>
  </r>
  <r>
    <x v="6"/>
    <x v="1"/>
    <x v="0"/>
    <x v="1"/>
    <n v="58"/>
    <n v="384710"/>
    <n v="22313180"/>
  </r>
  <r>
    <x v="6"/>
    <x v="1"/>
    <x v="4"/>
    <x v="3"/>
    <n v="117"/>
    <n v="278093"/>
    <n v="32536881"/>
  </r>
  <r>
    <x v="6"/>
    <x v="1"/>
    <x v="0"/>
    <x v="5"/>
    <n v="117"/>
    <n v="388496"/>
    <n v="45454032"/>
  </r>
  <r>
    <x v="6"/>
    <x v="1"/>
    <x v="0"/>
    <x v="2"/>
    <n v="111"/>
    <n v="187247"/>
    <n v="20784417"/>
  </r>
  <r>
    <x v="7"/>
    <x v="1"/>
    <x v="0"/>
    <x v="3"/>
    <n v="104"/>
    <n v="197628"/>
    <n v="20553312"/>
  </r>
  <r>
    <x v="7"/>
    <x v="1"/>
    <x v="1"/>
    <x v="0"/>
    <n v="103"/>
    <n v="262764"/>
    <n v="27064692"/>
  </r>
  <r>
    <x v="7"/>
    <x v="1"/>
    <x v="0"/>
    <x v="1"/>
    <n v="26"/>
    <n v="77215"/>
    <n v="2007590"/>
  </r>
  <r>
    <x v="7"/>
    <x v="1"/>
    <x v="2"/>
    <x v="4"/>
    <n v="57"/>
    <n v="365612"/>
    <n v="20839884"/>
  </r>
  <r>
    <x v="7"/>
    <x v="1"/>
    <x v="1"/>
    <x v="1"/>
    <n v="47"/>
    <n v="88781"/>
    <n v="4172707"/>
  </r>
  <r>
    <x v="7"/>
    <x v="1"/>
    <x v="0"/>
    <x v="4"/>
    <n v="16"/>
    <n v="131172"/>
    <n v="2098752"/>
  </r>
  <r>
    <x v="7"/>
    <x v="1"/>
    <x v="0"/>
    <x v="5"/>
    <n v="94"/>
    <n v="505972"/>
    <n v="47561368"/>
  </r>
  <r>
    <x v="7"/>
    <x v="1"/>
    <x v="4"/>
    <x v="5"/>
    <n v="118"/>
    <n v="370260"/>
    <n v="43690680"/>
  </r>
  <r>
    <x v="7"/>
    <x v="1"/>
    <x v="0"/>
    <x v="3"/>
    <n v="95"/>
    <n v="382370"/>
    <n v="36325150"/>
  </r>
  <r>
    <x v="7"/>
    <x v="1"/>
    <x v="1"/>
    <x v="5"/>
    <n v="109"/>
    <n v="407827"/>
    <n v="44453143"/>
  </r>
  <r>
    <x v="7"/>
    <x v="1"/>
    <x v="0"/>
    <x v="4"/>
    <n v="92"/>
    <n v="363151"/>
    <n v="33409892"/>
  </r>
  <r>
    <x v="7"/>
    <x v="1"/>
    <x v="0"/>
    <x v="3"/>
    <n v="50"/>
    <n v="546226"/>
    <n v="27311300"/>
  </r>
  <r>
    <x v="7"/>
    <x v="1"/>
    <x v="0"/>
    <x v="4"/>
    <n v="61"/>
    <n v="365754"/>
    <n v="22310994"/>
  </r>
  <r>
    <x v="8"/>
    <x v="1"/>
    <x v="3"/>
    <x v="5"/>
    <n v="65"/>
    <n v="48304"/>
    <n v="3139760"/>
  </r>
  <r>
    <x v="8"/>
    <x v="1"/>
    <x v="3"/>
    <x v="4"/>
    <n v="44"/>
    <n v="161836"/>
    <n v="7120784"/>
  </r>
  <r>
    <x v="8"/>
    <x v="1"/>
    <x v="0"/>
    <x v="3"/>
    <n v="46"/>
    <n v="395777"/>
    <n v="18205742"/>
  </r>
  <r>
    <x v="8"/>
    <x v="1"/>
    <x v="4"/>
    <x v="5"/>
    <n v="8"/>
    <n v="347497"/>
    <n v="2779976"/>
  </r>
  <r>
    <x v="8"/>
    <x v="1"/>
    <x v="3"/>
    <x v="1"/>
    <n v="105"/>
    <n v="13267"/>
    <n v="1393035"/>
  </r>
  <r>
    <x v="8"/>
    <x v="1"/>
    <x v="4"/>
    <x v="4"/>
    <n v="109"/>
    <n v="545626"/>
    <n v="59473234"/>
  </r>
  <r>
    <x v="8"/>
    <x v="1"/>
    <x v="0"/>
    <x v="4"/>
    <n v="21"/>
    <n v="230156"/>
    <n v="4833276"/>
  </r>
  <r>
    <x v="8"/>
    <x v="1"/>
    <x v="4"/>
    <x v="4"/>
    <n v="101"/>
    <n v="124352"/>
    <n v="12559552"/>
  </r>
  <r>
    <x v="8"/>
    <x v="1"/>
    <x v="4"/>
    <x v="2"/>
    <n v="113"/>
    <n v="206582"/>
    <n v="23343766"/>
  </r>
  <r>
    <x v="8"/>
    <x v="1"/>
    <x v="1"/>
    <x v="1"/>
    <n v="12"/>
    <n v="177280"/>
    <n v="2127360"/>
  </r>
  <r>
    <x v="8"/>
    <x v="1"/>
    <x v="0"/>
    <x v="3"/>
    <n v="89"/>
    <n v="424568"/>
    <n v="37786552"/>
  </r>
  <r>
    <x v="8"/>
    <x v="1"/>
    <x v="0"/>
    <x v="2"/>
    <n v="62"/>
    <n v="188031"/>
    <n v="11657922"/>
  </r>
  <r>
    <x v="8"/>
    <x v="1"/>
    <x v="1"/>
    <x v="4"/>
    <n v="59"/>
    <n v="188352"/>
    <n v="11112768"/>
  </r>
  <r>
    <x v="8"/>
    <x v="1"/>
    <x v="1"/>
    <x v="4"/>
    <n v="105"/>
    <n v="69163"/>
    <n v="7262115"/>
  </r>
  <r>
    <x v="8"/>
    <x v="1"/>
    <x v="3"/>
    <x v="1"/>
    <n v="111"/>
    <n v="149407"/>
    <n v="16584177"/>
  </r>
  <r>
    <x v="8"/>
    <x v="1"/>
    <x v="3"/>
    <x v="0"/>
    <n v="12"/>
    <n v="230184"/>
    <n v="2762208"/>
  </r>
  <r>
    <x v="8"/>
    <x v="1"/>
    <x v="1"/>
    <x v="3"/>
    <n v="100"/>
    <n v="332710"/>
    <n v="33271000"/>
  </r>
  <r>
    <x v="8"/>
    <x v="1"/>
    <x v="0"/>
    <x v="5"/>
    <n v="109"/>
    <n v="99780"/>
    <n v="10876020"/>
  </r>
  <r>
    <x v="8"/>
    <x v="1"/>
    <x v="0"/>
    <x v="1"/>
    <n v="14"/>
    <n v="543636"/>
    <n v="7610904"/>
  </r>
  <r>
    <x v="8"/>
    <x v="1"/>
    <x v="3"/>
    <x v="4"/>
    <n v="75"/>
    <n v="541089"/>
    <n v="40581675"/>
  </r>
  <r>
    <x v="9"/>
    <x v="1"/>
    <x v="0"/>
    <x v="3"/>
    <n v="74"/>
    <n v="223945"/>
    <n v="16571930"/>
  </r>
  <r>
    <x v="9"/>
    <x v="1"/>
    <x v="1"/>
    <x v="1"/>
    <n v="102"/>
    <n v="535830"/>
    <n v="54654660"/>
  </r>
  <r>
    <x v="9"/>
    <x v="1"/>
    <x v="4"/>
    <x v="5"/>
    <n v="9"/>
    <n v="365249"/>
    <n v="3287241"/>
  </r>
  <r>
    <x v="9"/>
    <x v="1"/>
    <x v="4"/>
    <x v="0"/>
    <n v="5"/>
    <n v="529332"/>
    <n v="2646660"/>
  </r>
  <r>
    <x v="9"/>
    <x v="1"/>
    <x v="1"/>
    <x v="3"/>
    <n v="65"/>
    <n v="248067"/>
    <n v="16124355"/>
  </r>
  <r>
    <x v="9"/>
    <x v="1"/>
    <x v="1"/>
    <x v="4"/>
    <n v="4"/>
    <n v="527923"/>
    <n v="2111692"/>
  </r>
  <r>
    <x v="9"/>
    <x v="2"/>
    <x v="0"/>
    <x v="2"/>
    <n v="19"/>
    <n v="213196"/>
    <n v="4050724"/>
  </r>
  <r>
    <x v="9"/>
    <x v="2"/>
    <x v="0"/>
    <x v="2"/>
    <n v="91"/>
    <n v="458345"/>
    <n v="41709395"/>
  </r>
  <r>
    <x v="9"/>
    <x v="2"/>
    <x v="3"/>
    <x v="4"/>
    <n v="45"/>
    <n v="539036"/>
    <n v="24256620"/>
  </r>
  <r>
    <x v="9"/>
    <x v="2"/>
    <x v="2"/>
    <x v="1"/>
    <n v="58"/>
    <n v="40355"/>
    <n v="2340590"/>
  </r>
  <r>
    <x v="9"/>
    <x v="2"/>
    <x v="0"/>
    <x v="0"/>
    <n v="105"/>
    <n v="315062"/>
    <n v="33081510"/>
  </r>
  <r>
    <x v="9"/>
    <x v="2"/>
    <x v="1"/>
    <x v="4"/>
    <n v="92"/>
    <n v="71629"/>
    <n v="6589868"/>
  </r>
  <r>
    <x v="9"/>
    <x v="2"/>
    <x v="0"/>
    <x v="1"/>
    <n v="25"/>
    <n v="223920"/>
    <n v="5598000"/>
  </r>
  <r>
    <x v="9"/>
    <x v="2"/>
    <x v="2"/>
    <x v="1"/>
    <n v="58"/>
    <n v="514492"/>
    <n v="29840536"/>
  </r>
  <r>
    <x v="9"/>
    <x v="2"/>
    <x v="0"/>
    <x v="0"/>
    <n v="21"/>
    <n v="496261"/>
    <n v="10421481"/>
  </r>
  <r>
    <x v="9"/>
    <x v="2"/>
    <x v="0"/>
    <x v="0"/>
    <n v="101"/>
    <n v="269747"/>
    <n v="27244447"/>
  </r>
  <r>
    <x v="10"/>
    <x v="2"/>
    <x v="0"/>
    <x v="2"/>
    <n v="57"/>
    <n v="27640"/>
    <n v="1575480"/>
  </r>
  <r>
    <x v="10"/>
    <x v="2"/>
    <x v="0"/>
    <x v="2"/>
    <n v="31"/>
    <n v="511108"/>
    <n v="15844348"/>
  </r>
  <r>
    <x v="10"/>
    <x v="2"/>
    <x v="3"/>
    <x v="0"/>
    <n v="16"/>
    <n v="182502"/>
    <n v="2920032"/>
  </r>
  <r>
    <x v="10"/>
    <x v="2"/>
    <x v="0"/>
    <x v="2"/>
    <n v="74"/>
    <n v="21023"/>
    <n v="1555702"/>
  </r>
  <r>
    <x v="10"/>
    <x v="2"/>
    <x v="0"/>
    <x v="5"/>
    <n v="24"/>
    <n v="76203"/>
    <n v="1828872"/>
  </r>
  <r>
    <x v="10"/>
    <x v="2"/>
    <x v="0"/>
    <x v="5"/>
    <n v="36"/>
    <n v="333673"/>
    <n v="12012228"/>
  </r>
  <r>
    <x v="10"/>
    <x v="2"/>
    <x v="0"/>
    <x v="1"/>
    <n v="50"/>
    <n v="305451"/>
    <n v="15272550"/>
  </r>
  <r>
    <x v="10"/>
    <x v="2"/>
    <x v="0"/>
    <x v="3"/>
    <n v="100"/>
    <n v="507562"/>
    <n v="50756200"/>
  </r>
  <r>
    <x v="10"/>
    <x v="2"/>
    <x v="0"/>
    <x v="1"/>
    <n v="33"/>
    <n v="327428"/>
    <n v="10805124"/>
  </r>
  <r>
    <x v="10"/>
    <x v="2"/>
    <x v="0"/>
    <x v="2"/>
    <n v="112"/>
    <n v="92844"/>
    <n v="10398528"/>
  </r>
  <r>
    <x v="10"/>
    <x v="2"/>
    <x v="3"/>
    <x v="1"/>
    <n v="6"/>
    <n v="408929"/>
    <n v="2453574"/>
  </r>
  <r>
    <x v="10"/>
    <x v="2"/>
    <x v="0"/>
    <x v="2"/>
    <n v="25"/>
    <n v="139473"/>
    <n v="3486825"/>
  </r>
  <r>
    <x v="10"/>
    <x v="2"/>
    <x v="4"/>
    <x v="3"/>
    <n v="109"/>
    <n v="178964"/>
    <n v="19507076"/>
  </r>
  <r>
    <x v="11"/>
    <x v="2"/>
    <x v="2"/>
    <x v="1"/>
    <n v="65"/>
    <n v="122816"/>
    <n v="7983040"/>
  </r>
  <r>
    <x v="11"/>
    <x v="2"/>
    <x v="4"/>
    <x v="3"/>
    <n v="63"/>
    <n v="279114"/>
    <n v="17584182"/>
  </r>
  <r>
    <x v="11"/>
    <x v="2"/>
    <x v="1"/>
    <x v="3"/>
    <n v="33"/>
    <n v="115570"/>
    <n v="3813810"/>
  </r>
  <r>
    <x v="11"/>
    <x v="2"/>
    <x v="1"/>
    <x v="1"/>
    <n v="112"/>
    <n v="284907"/>
    <n v="31909584"/>
  </r>
  <r>
    <x v="11"/>
    <x v="2"/>
    <x v="0"/>
    <x v="1"/>
    <n v="5"/>
    <n v="245365"/>
    <n v="1226825"/>
  </r>
  <r>
    <x v="11"/>
    <x v="2"/>
    <x v="0"/>
    <x v="5"/>
    <n v="101"/>
    <n v="210244"/>
    <n v="21234644"/>
  </r>
  <r>
    <x v="11"/>
    <x v="2"/>
    <x v="4"/>
    <x v="2"/>
    <n v="83"/>
    <n v="154528"/>
    <n v="12825824"/>
  </r>
  <r>
    <x v="11"/>
    <x v="2"/>
    <x v="0"/>
    <x v="4"/>
    <n v="110"/>
    <n v="326076"/>
    <n v="35868360"/>
  </r>
  <r>
    <x v="11"/>
    <x v="2"/>
    <x v="2"/>
    <x v="5"/>
    <n v="65"/>
    <n v="309888"/>
    <n v="20142720"/>
  </r>
  <r>
    <x v="11"/>
    <x v="2"/>
    <x v="0"/>
    <x v="5"/>
    <n v="95"/>
    <n v="148311"/>
    <n v="14089545"/>
  </r>
  <r>
    <x v="11"/>
    <x v="2"/>
    <x v="4"/>
    <x v="0"/>
    <n v="34"/>
    <n v="446341"/>
    <n v="15175594"/>
  </r>
  <r>
    <x v="11"/>
    <x v="2"/>
    <x v="4"/>
    <x v="0"/>
    <n v="12"/>
    <n v="135917"/>
    <n v="1631004"/>
  </r>
  <r>
    <x v="12"/>
    <x v="2"/>
    <x v="0"/>
    <x v="1"/>
    <n v="17"/>
    <n v="291342"/>
    <n v="4952814"/>
  </r>
  <r>
    <x v="12"/>
    <x v="2"/>
    <x v="1"/>
    <x v="2"/>
    <n v="14"/>
    <n v="495450"/>
    <n v="6936300"/>
  </r>
  <r>
    <x v="12"/>
    <x v="2"/>
    <x v="0"/>
    <x v="5"/>
    <n v="98"/>
    <n v="16949"/>
    <n v="1661002"/>
  </r>
  <r>
    <x v="12"/>
    <x v="2"/>
    <x v="4"/>
    <x v="4"/>
    <n v="30"/>
    <n v="465102"/>
    <n v="13953060"/>
  </r>
  <r>
    <x v="12"/>
    <x v="2"/>
    <x v="0"/>
    <x v="2"/>
    <n v="38"/>
    <n v="314462"/>
    <n v="11949556"/>
  </r>
  <r>
    <x v="12"/>
    <x v="2"/>
    <x v="0"/>
    <x v="1"/>
    <n v="106"/>
    <n v="263490"/>
    <n v="27929940"/>
  </r>
  <r>
    <x v="12"/>
    <x v="2"/>
    <x v="1"/>
    <x v="3"/>
    <n v="4"/>
    <n v="518041"/>
    <n v="2072164"/>
  </r>
  <r>
    <x v="12"/>
    <x v="2"/>
    <x v="4"/>
    <x v="1"/>
    <n v="17"/>
    <n v="327267"/>
    <n v="5563539"/>
  </r>
  <r>
    <x v="12"/>
    <x v="2"/>
    <x v="4"/>
    <x v="2"/>
    <n v="6"/>
    <n v="15569"/>
    <n v="93414"/>
  </r>
  <r>
    <x v="12"/>
    <x v="2"/>
    <x v="3"/>
    <x v="3"/>
    <n v="43"/>
    <n v="55002"/>
    <n v="2365086"/>
  </r>
  <r>
    <x v="12"/>
    <x v="2"/>
    <x v="0"/>
    <x v="0"/>
    <n v="55"/>
    <n v="221791"/>
    <n v="12198505"/>
  </r>
  <r>
    <x v="12"/>
    <x v="2"/>
    <x v="2"/>
    <x v="4"/>
    <n v="16"/>
    <n v="34071"/>
    <n v="545136"/>
  </r>
  <r>
    <x v="12"/>
    <x v="2"/>
    <x v="0"/>
    <x v="0"/>
    <n v="67"/>
    <n v="224879"/>
    <n v="15066893"/>
  </r>
  <r>
    <x v="12"/>
    <x v="2"/>
    <x v="1"/>
    <x v="1"/>
    <n v="32"/>
    <n v="427170"/>
    <n v="13669440"/>
  </r>
  <r>
    <x v="12"/>
    <x v="2"/>
    <x v="4"/>
    <x v="1"/>
    <n v="92"/>
    <n v="46668"/>
    <n v="4293456"/>
  </r>
  <r>
    <x v="13"/>
    <x v="2"/>
    <x v="2"/>
    <x v="5"/>
    <n v="1"/>
    <n v="376824"/>
    <n v="376824"/>
  </r>
  <r>
    <x v="13"/>
    <x v="2"/>
    <x v="2"/>
    <x v="5"/>
    <n v="34"/>
    <n v="380608"/>
    <n v="12940672"/>
  </r>
  <r>
    <x v="13"/>
    <x v="2"/>
    <x v="1"/>
    <x v="3"/>
    <n v="27"/>
    <n v="33624"/>
    <n v="907848"/>
  </r>
  <r>
    <x v="13"/>
    <x v="2"/>
    <x v="0"/>
    <x v="1"/>
    <n v="86"/>
    <n v="196717"/>
    <n v="16917662"/>
  </r>
  <r>
    <x v="13"/>
    <x v="2"/>
    <x v="0"/>
    <x v="3"/>
    <n v="26"/>
    <n v="220176"/>
    <n v="5724576"/>
  </r>
  <r>
    <x v="13"/>
    <x v="2"/>
    <x v="3"/>
    <x v="2"/>
    <n v="52"/>
    <n v="528862"/>
    <n v="27500824"/>
  </r>
  <r>
    <x v="13"/>
    <x v="2"/>
    <x v="2"/>
    <x v="5"/>
    <n v="90"/>
    <n v="83686"/>
    <n v="7531740"/>
  </r>
  <r>
    <x v="13"/>
    <x v="2"/>
    <x v="1"/>
    <x v="0"/>
    <n v="26"/>
    <n v="276765"/>
    <n v="7195890"/>
  </r>
  <r>
    <x v="13"/>
    <x v="2"/>
    <x v="0"/>
    <x v="4"/>
    <n v="3"/>
    <n v="458874"/>
    <n v="1376622"/>
  </r>
  <r>
    <x v="13"/>
    <x v="2"/>
    <x v="1"/>
    <x v="1"/>
    <n v="18"/>
    <n v="176926"/>
    <n v="3184668"/>
  </r>
  <r>
    <x v="13"/>
    <x v="2"/>
    <x v="0"/>
    <x v="3"/>
    <n v="74"/>
    <n v="11062"/>
    <n v="818588"/>
  </r>
  <r>
    <x v="13"/>
    <x v="2"/>
    <x v="0"/>
    <x v="4"/>
    <n v="86"/>
    <n v="460009"/>
    <n v="39560774"/>
  </r>
  <r>
    <x v="13"/>
    <x v="2"/>
    <x v="0"/>
    <x v="4"/>
    <n v="17"/>
    <n v="381923"/>
    <n v="6492691"/>
  </r>
  <r>
    <x v="13"/>
    <x v="2"/>
    <x v="4"/>
    <x v="4"/>
    <n v="67"/>
    <n v="396193"/>
    <n v="26544931"/>
  </r>
  <r>
    <x v="13"/>
    <x v="2"/>
    <x v="0"/>
    <x v="3"/>
    <n v="86"/>
    <n v="547198"/>
    <n v="47059028"/>
  </r>
  <r>
    <x v="13"/>
    <x v="2"/>
    <x v="0"/>
    <x v="1"/>
    <n v="83"/>
    <n v="484665"/>
    <n v="40227195"/>
  </r>
  <r>
    <x v="13"/>
    <x v="2"/>
    <x v="2"/>
    <x v="3"/>
    <n v="52"/>
    <n v="122581"/>
    <n v="6374212"/>
  </r>
  <r>
    <x v="13"/>
    <x v="2"/>
    <x v="0"/>
    <x v="4"/>
    <n v="53"/>
    <n v="126421"/>
    <n v="6700313"/>
  </r>
  <r>
    <x v="13"/>
    <x v="2"/>
    <x v="2"/>
    <x v="3"/>
    <n v="75"/>
    <n v="154990"/>
    <n v="11624250"/>
  </r>
  <r>
    <x v="14"/>
    <x v="2"/>
    <x v="0"/>
    <x v="1"/>
    <n v="3"/>
    <n v="428034"/>
    <n v="1284102"/>
  </r>
  <r>
    <x v="14"/>
    <x v="2"/>
    <x v="0"/>
    <x v="0"/>
    <n v="24"/>
    <n v="313571"/>
    <n v="7525704"/>
  </r>
  <r>
    <x v="14"/>
    <x v="2"/>
    <x v="0"/>
    <x v="2"/>
    <n v="79"/>
    <n v="397952"/>
    <n v="31438208"/>
  </r>
  <r>
    <x v="14"/>
    <x v="3"/>
    <x v="3"/>
    <x v="5"/>
    <n v="62"/>
    <n v="535134"/>
    <n v="33178308"/>
  </r>
  <r>
    <x v="14"/>
    <x v="3"/>
    <x v="3"/>
    <x v="2"/>
    <n v="45"/>
    <n v="147541"/>
    <n v="6639345"/>
  </r>
  <r>
    <x v="14"/>
    <x v="3"/>
    <x v="0"/>
    <x v="4"/>
    <n v="19"/>
    <n v="199139"/>
    <n v="3783641"/>
  </r>
  <r>
    <x v="14"/>
    <x v="3"/>
    <x v="0"/>
    <x v="5"/>
    <n v="12"/>
    <n v="399678"/>
    <n v="4796136"/>
  </r>
  <r>
    <x v="14"/>
    <x v="3"/>
    <x v="2"/>
    <x v="4"/>
    <n v="64"/>
    <n v="11917"/>
    <n v="762688"/>
  </r>
  <r>
    <x v="14"/>
    <x v="3"/>
    <x v="1"/>
    <x v="5"/>
    <n v="107"/>
    <n v="292272"/>
    <n v="31273104"/>
  </r>
  <r>
    <x v="14"/>
    <x v="3"/>
    <x v="4"/>
    <x v="5"/>
    <n v="5"/>
    <n v="413081"/>
    <n v="2065405"/>
  </r>
  <r>
    <x v="14"/>
    <x v="3"/>
    <x v="1"/>
    <x v="3"/>
    <n v="40"/>
    <n v="267665"/>
    <n v="10706600"/>
  </r>
  <r>
    <x v="15"/>
    <x v="3"/>
    <x v="0"/>
    <x v="3"/>
    <n v="101"/>
    <n v="118872"/>
    <n v="12006072"/>
  </r>
  <r>
    <x v="15"/>
    <x v="3"/>
    <x v="3"/>
    <x v="3"/>
    <n v="15"/>
    <n v="439474"/>
    <n v="6592110"/>
  </r>
  <r>
    <x v="15"/>
    <x v="3"/>
    <x v="1"/>
    <x v="5"/>
    <n v="62"/>
    <n v="546507"/>
    <n v="33883434"/>
  </r>
  <r>
    <x v="15"/>
    <x v="3"/>
    <x v="2"/>
    <x v="4"/>
    <n v="117"/>
    <n v="474008"/>
    <n v="55458936"/>
  </r>
  <r>
    <x v="15"/>
    <x v="3"/>
    <x v="3"/>
    <x v="1"/>
    <n v="35"/>
    <n v="53925"/>
    <n v="1887375"/>
  </r>
  <r>
    <x v="15"/>
    <x v="3"/>
    <x v="3"/>
    <x v="4"/>
    <n v="105"/>
    <n v="68596"/>
    <n v="7202580"/>
  </r>
  <r>
    <x v="15"/>
    <x v="3"/>
    <x v="2"/>
    <x v="0"/>
    <n v="35"/>
    <n v="549812"/>
    <n v="19243420"/>
  </r>
  <r>
    <x v="15"/>
    <x v="3"/>
    <x v="3"/>
    <x v="4"/>
    <n v="78"/>
    <n v="509097"/>
    <n v="39709566"/>
  </r>
  <r>
    <x v="15"/>
    <x v="3"/>
    <x v="0"/>
    <x v="2"/>
    <n v="109"/>
    <n v="487272"/>
    <n v="53112648"/>
  </r>
  <r>
    <x v="15"/>
    <x v="3"/>
    <x v="3"/>
    <x v="3"/>
    <n v="38"/>
    <n v="228134"/>
    <n v="8669092"/>
  </r>
  <r>
    <x v="15"/>
    <x v="3"/>
    <x v="0"/>
    <x v="5"/>
    <n v="17"/>
    <n v="545534"/>
    <n v="9274078"/>
  </r>
  <r>
    <x v="15"/>
    <x v="3"/>
    <x v="2"/>
    <x v="0"/>
    <n v="53"/>
    <n v="102263"/>
    <n v="5419939"/>
  </r>
  <r>
    <x v="15"/>
    <x v="3"/>
    <x v="2"/>
    <x v="0"/>
    <n v="6"/>
    <n v="233810"/>
    <n v="1402860"/>
  </r>
  <r>
    <x v="15"/>
    <x v="3"/>
    <x v="4"/>
    <x v="1"/>
    <n v="64"/>
    <n v="353054"/>
    <n v="22595456"/>
  </r>
  <r>
    <x v="15"/>
    <x v="3"/>
    <x v="0"/>
    <x v="0"/>
    <n v="116"/>
    <n v="35053"/>
    <n v="4066148"/>
  </r>
  <r>
    <x v="15"/>
    <x v="3"/>
    <x v="0"/>
    <x v="3"/>
    <n v="29"/>
    <n v="282933"/>
    <n v="8205057"/>
  </r>
  <r>
    <x v="15"/>
    <x v="3"/>
    <x v="1"/>
    <x v="3"/>
    <n v="101"/>
    <n v="42154"/>
    <n v="4257554"/>
  </r>
  <r>
    <x v="15"/>
    <x v="3"/>
    <x v="2"/>
    <x v="5"/>
    <n v="68"/>
    <n v="291173"/>
    <n v="19799764"/>
  </r>
  <r>
    <x v="15"/>
    <x v="3"/>
    <x v="1"/>
    <x v="2"/>
    <n v="74"/>
    <n v="184944"/>
    <n v="13685856"/>
  </r>
  <r>
    <x v="15"/>
    <x v="3"/>
    <x v="1"/>
    <x v="4"/>
    <n v="31"/>
    <n v="81907"/>
    <n v="2539117"/>
  </r>
  <r>
    <x v="15"/>
    <x v="3"/>
    <x v="0"/>
    <x v="1"/>
    <n v="29"/>
    <n v="292247"/>
    <n v="8475163"/>
  </r>
  <r>
    <x v="15"/>
    <x v="3"/>
    <x v="0"/>
    <x v="5"/>
    <n v="68"/>
    <n v="373339"/>
    <n v="25387052"/>
  </r>
  <r>
    <x v="16"/>
    <x v="3"/>
    <x v="3"/>
    <x v="4"/>
    <n v="95"/>
    <n v="242050"/>
    <n v="22994750"/>
  </r>
  <r>
    <x v="16"/>
    <x v="3"/>
    <x v="0"/>
    <x v="1"/>
    <n v="26"/>
    <n v="396858"/>
    <n v="10318308"/>
  </r>
  <r>
    <x v="16"/>
    <x v="3"/>
    <x v="0"/>
    <x v="2"/>
    <n v="11"/>
    <n v="398349"/>
    <n v="4381839"/>
  </r>
  <r>
    <x v="16"/>
    <x v="3"/>
    <x v="2"/>
    <x v="5"/>
    <n v="72"/>
    <n v="65318"/>
    <n v="4702896"/>
  </r>
  <r>
    <x v="16"/>
    <x v="3"/>
    <x v="2"/>
    <x v="1"/>
    <n v="107"/>
    <n v="143515"/>
    <n v="15356105"/>
  </r>
  <r>
    <x v="16"/>
    <x v="3"/>
    <x v="2"/>
    <x v="4"/>
    <n v="82"/>
    <n v="198014"/>
    <n v="16237148"/>
  </r>
  <r>
    <x v="16"/>
    <x v="3"/>
    <x v="3"/>
    <x v="1"/>
    <n v="76"/>
    <n v="221951"/>
    <n v="16868276"/>
  </r>
  <r>
    <x v="16"/>
    <x v="3"/>
    <x v="1"/>
    <x v="3"/>
    <n v="72"/>
    <n v="10126"/>
    <n v="729072"/>
  </r>
  <r>
    <x v="16"/>
    <x v="3"/>
    <x v="0"/>
    <x v="2"/>
    <n v="31"/>
    <n v="119945"/>
    <n v="3718295"/>
  </r>
  <r>
    <x v="16"/>
    <x v="3"/>
    <x v="3"/>
    <x v="2"/>
    <n v="29"/>
    <n v="185399"/>
    <n v="5376571"/>
  </r>
  <r>
    <x v="16"/>
    <x v="3"/>
    <x v="3"/>
    <x v="1"/>
    <n v="23"/>
    <n v="44560"/>
    <n v="1024880"/>
  </r>
  <r>
    <x v="16"/>
    <x v="3"/>
    <x v="1"/>
    <x v="2"/>
    <n v="90"/>
    <n v="142717"/>
    <n v="12844530"/>
  </r>
  <r>
    <x v="16"/>
    <x v="3"/>
    <x v="0"/>
    <x v="2"/>
    <n v="57"/>
    <n v="504592"/>
    <n v="28761744"/>
  </r>
  <r>
    <x v="16"/>
    <x v="3"/>
    <x v="0"/>
    <x v="3"/>
    <n v="115"/>
    <n v="340388"/>
    <n v="39144620"/>
  </r>
  <r>
    <x v="17"/>
    <x v="3"/>
    <x v="1"/>
    <x v="3"/>
    <n v="9"/>
    <n v="67545"/>
    <n v="607905"/>
  </r>
  <r>
    <x v="17"/>
    <x v="3"/>
    <x v="1"/>
    <x v="4"/>
    <n v="26"/>
    <n v="23224"/>
    <n v="603824"/>
  </r>
  <r>
    <x v="17"/>
    <x v="3"/>
    <x v="0"/>
    <x v="5"/>
    <n v="90"/>
    <n v="476725"/>
    <n v="42905250"/>
  </r>
  <r>
    <x v="17"/>
    <x v="3"/>
    <x v="3"/>
    <x v="0"/>
    <n v="34"/>
    <n v="308512"/>
    <n v="10489408"/>
  </r>
  <r>
    <x v="17"/>
    <x v="3"/>
    <x v="0"/>
    <x v="4"/>
    <n v="51"/>
    <n v="514471"/>
    <n v="26238021"/>
  </r>
  <r>
    <x v="17"/>
    <x v="3"/>
    <x v="2"/>
    <x v="3"/>
    <n v="117"/>
    <n v="228967"/>
    <n v="26789139"/>
  </r>
  <r>
    <x v="17"/>
    <x v="3"/>
    <x v="1"/>
    <x v="3"/>
    <n v="63"/>
    <n v="157313"/>
    <n v="9910719"/>
  </r>
  <r>
    <x v="17"/>
    <x v="3"/>
    <x v="0"/>
    <x v="4"/>
    <n v="81"/>
    <n v="29816"/>
    <n v="2415096"/>
  </r>
  <r>
    <x v="17"/>
    <x v="3"/>
    <x v="2"/>
    <x v="3"/>
    <n v="86"/>
    <n v="216524"/>
    <n v="18621064"/>
  </r>
  <r>
    <x v="17"/>
    <x v="3"/>
    <x v="0"/>
    <x v="2"/>
    <n v="1"/>
    <n v="536047"/>
    <n v="536047"/>
  </r>
  <r>
    <x v="17"/>
    <x v="3"/>
    <x v="0"/>
    <x v="2"/>
    <n v="51"/>
    <n v="461282"/>
    <n v="23525382"/>
  </r>
  <r>
    <x v="17"/>
    <x v="3"/>
    <x v="1"/>
    <x v="0"/>
    <n v="49"/>
    <n v="183532"/>
    <n v="8993068"/>
  </r>
  <r>
    <x v="17"/>
    <x v="3"/>
    <x v="4"/>
    <x v="2"/>
    <n v="1"/>
    <n v="267009"/>
    <n v="267009"/>
  </r>
  <r>
    <x v="17"/>
    <x v="3"/>
    <x v="0"/>
    <x v="4"/>
    <n v="113"/>
    <n v="310709"/>
    <n v="35110117"/>
  </r>
  <r>
    <x v="17"/>
    <x v="3"/>
    <x v="0"/>
    <x v="0"/>
    <n v="8"/>
    <n v="284486"/>
    <n v="2275888"/>
  </r>
  <r>
    <x v="17"/>
    <x v="3"/>
    <x v="4"/>
    <x v="4"/>
    <n v="74"/>
    <n v="193675"/>
    <n v="14331950"/>
  </r>
  <r>
    <x v="17"/>
    <x v="3"/>
    <x v="4"/>
    <x v="3"/>
    <n v="7"/>
    <n v="119575"/>
    <n v="837025"/>
  </r>
  <r>
    <x v="17"/>
    <x v="3"/>
    <x v="0"/>
    <x v="0"/>
    <n v="67"/>
    <n v="515815"/>
    <n v="34559605"/>
  </r>
  <r>
    <x v="17"/>
    <x v="3"/>
    <x v="0"/>
    <x v="1"/>
    <n v="72"/>
    <n v="459589"/>
    <n v="33090408"/>
  </r>
  <r>
    <x v="17"/>
    <x v="3"/>
    <x v="3"/>
    <x v="5"/>
    <n v="51"/>
    <n v="357739"/>
    <n v="18244689"/>
  </r>
  <r>
    <x v="17"/>
    <x v="3"/>
    <x v="3"/>
    <x v="2"/>
    <n v="96"/>
    <n v="435037"/>
    <n v="41763552"/>
  </r>
  <r>
    <x v="18"/>
    <x v="3"/>
    <x v="3"/>
    <x v="2"/>
    <n v="16"/>
    <n v="326915"/>
    <n v="5230640"/>
  </r>
  <r>
    <x v="18"/>
    <x v="3"/>
    <x v="1"/>
    <x v="5"/>
    <n v="14"/>
    <n v="76358"/>
    <n v="1069012"/>
  </r>
  <r>
    <x v="18"/>
    <x v="3"/>
    <x v="0"/>
    <x v="1"/>
    <n v="74"/>
    <n v="264726"/>
    <n v="19589724"/>
  </r>
  <r>
    <x v="18"/>
    <x v="3"/>
    <x v="3"/>
    <x v="4"/>
    <n v="112"/>
    <n v="177292"/>
    <n v="19856704"/>
  </r>
  <r>
    <x v="18"/>
    <x v="3"/>
    <x v="1"/>
    <x v="3"/>
    <n v="60"/>
    <n v="391009"/>
    <n v="23460540"/>
  </r>
  <r>
    <x v="18"/>
    <x v="3"/>
    <x v="0"/>
    <x v="5"/>
    <n v="69"/>
    <n v="97955"/>
    <n v="6758895"/>
  </r>
  <r>
    <x v="18"/>
    <x v="3"/>
    <x v="0"/>
    <x v="4"/>
    <n v="2"/>
    <n v="104914"/>
    <n v="209828"/>
  </r>
  <r>
    <x v="18"/>
    <x v="4"/>
    <x v="0"/>
    <x v="5"/>
    <n v="5"/>
    <n v="204269"/>
    <n v="1021345"/>
  </r>
  <r>
    <x v="18"/>
    <x v="4"/>
    <x v="1"/>
    <x v="5"/>
    <n v="44"/>
    <n v="130674"/>
    <n v="5749656"/>
  </r>
  <r>
    <x v="18"/>
    <x v="4"/>
    <x v="2"/>
    <x v="0"/>
    <n v="108"/>
    <n v="266713"/>
    <n v="28805004"/>
  </r>
  <r>
    <x v="18"/>
    <x v="4"/>
    <x v="2"/>
    <x v="5"/>
    <n v="87"/>
    <n v="227215"/>
    <n v="19767705"/>
  </r>
  <r>
    <x v="18"/>
    <x v="4"/>
    <x v="3"/>
    <x v="5"/>
    <n v="81"/>
    <n v="536861"/>
    <n v="43485741"/>
  </r>
  <r>
    <x v="18"/>
    <x v="4"/>
    <x v="1"/>
    <x v="2"/>
    <n v="25"/>
    <n v="332918"/>
    <n v="8322950"/>
  </r>
  <r>
    <x v="18"/>
    <x v="4"/>
    <x v="2"/>
    <x v="5"/>
    <n v="107"/>
    <n v="323837"/>
    <n v="34650559"/>
  </r>
  <r>
    <x v="18"/>
    <x v="4"/>
    <x v="4"/>
    <x v="1"/>
    <n v="29"/>
    <n v="217980"/>
    <n v="6321420"/>
  </r>
  <r>
    <x v="18"/>
    <x v="4"/>
    <x v="3"/>
    <x v="5"/>
    <n v="70"/>
    <n v="528271"/>
    <n v="36978970"/>
  </r>
  <r>
    <x v="18"/>
    <x v="4"/>
    <x v="0"/>
    <x v="1"/>
    <n v="41"/>
    <n v="167729"/>
    <n v="6876889"/>
  </r>
  <r>
    <x v="18"/>
    <x v="4"/>
    <x v="0"/>
    <x v="5"/>
    <n v="102"/>
    <n v="535910"/>
    <n v="54662820"/>
  </r>
  <r>
    <x v="18"/>
    <x v="4"/>
    <x v="2"/>
    <x v="2"/>
    <n v="85"/>
    <n v="61226"/>
    <n v="5204210"/>
  </r>
  <r>
    <x v="18"/>
    <x v="4"/>
    <x v="3"/>
    <x v="1"/>
    <n v="40"/>
    <n v="187900"/>
    <n v="7516000"/>
  </r>
  <r>
    <x v="18"/>
    <x v="4"/>
    <x v="0"/>
    <x v="5"/>
    <n v="10"/>
    <n v="462268"/>
    <n v="4622680"/>
  </r>
  <r>
    <x v="19"/>
    <x v="4"/>
    <x v="1"/>
    <x v="5"/>
    <n v="92"/>
    <n v="520585"/>
    <n v="47893820"/>
  </r>
  <r>
    <x v="19"/>
    <x v="4"/>
    <x v="0"/>
    <x v="1"/>
    <n v="54"/>
    <n v="202192"/>
    <n v="10918368"/>
  </r>
  <r>
    <x v="19"/>
    <x v="4"/>
    <x v="0"/>
    <x v="4"/>
    <n v="115"/>
    <n v="523319"/>
    <n v="60181685"/>
  </r>
  <r>
    <x v="19"/>
    <x v="4"/>
    <x v="0"/>
    <x v="0"/>
    <n v="59"/>
    <n v="21046"/>
    <n v="1241714"/>
  </r>
  <r>
    <x v="19"/>
    <x v="4"/>
    <x v="2"/>
    <x v="2"/>
    <n v="98"/>
    <n v="426366"/>
    <n v="41783868"/>
  </r>
  <r>
    <x v="19"/>
    <x v="4"/>
    <x v="2"/>
    <x v="5"/>
    <n v="69"/>
    <n v="492615"/>
    <n v="33990435"/>
  </r>
  <r>
    <x v="19"/>
    <x v="4"/>
    <x v="0"/>
    <x v="0"/>
    <n v="111"/>
    <n v="254883"/>
    <n v="28292013"/>
  </r>
  <r>
    <x v="19"/>
    <x v="4"/>
    <x v="0"/>
    <x v="1"/>
    <n v="107"/>
    <n v="131789"/>
    <n v="14101423"/>
  </r>
  <r>
    <x v="19"/>
    <x v="4"/>
    <x v="3"/>
    <x v="5"/>
    <n v="98"/>
    <n v="188376"/>
    <n v="18460848"/>
  </r>
  <r>
    <x v="19"/>
    <x v="4"/>
    <x v="1"/>
    <x v="5"/>
    <n v="73"/>
    <n v="403276"/>
    <n v="29439148"/>
  </r>
  <r>
    <x v="19"/>
    <x v="4"/>
    <x v="0"/>
    <x v="5"/>
    <n v="39"/>
    <n v="34354"/>
    <n v="1339806"/>
  </r>
  <r>
    <x v="19"/>
    <x v="4"/>
    <x v="1"/>
    <x v="2"/>
    <n v="108"/>
    <n v="509883"/>
    <n v="55067364"/>
  </r>
  <r>
    <x v="19"/>
    <x v="4"/>
    <x v="2"/>
    <x v="1"/>
    <n v="98"/>
    <n v="295195"/>
    <n v="28929110"/>
  </r>
  <r>
    <x v="19"/>
    <x v="4"/>
    <x v="0"/>
    <x v="1"/>
    <n v="59"/>
    <n v="341770"/>
    <n v="20164430"/>
  </r>
  <r>
    <x v="19"/>
    <x v="4"/>
    <x v="0"/>
    <x v="4"/>
    <n v="74"/>
    <n v="269568"/>
    <n v="19948032"/>
  </r>
  <r>
    <x v="19"/>
    <x v="4"/>
    <x v="2"/>
    <x v="1"/>
    <n v="80"/>
    <n v="403554"/>
    <n v="32284320"/>
  </r>
  <r>
    <x v="19"/>
    <x v="4"/>
    <x v="0"/>
    <x v="3"/>
    <n v="87"/>
    <n v="115423"/>
    <n v="10041801"/>
  </r>
  <r>
    <x v="19"/>
    <x v="4"/>
    <x v="4"/>
    <x v="5"/>
    <n v="89"/>
    <n v="87454"/>
    <n v="7783406"/>
  </r>
  <r>
    <x v="19"/>
    <x v="4"/>
    <x v="0"/>
    <x v="3"/>
    <n v="109"/>
    <n v="526142"/>
    <n v="57349478"/>
  </r>
  <r>
    <x v="19"/>
    <x v="4"/>
    <x v="0"/>
    <x v="5"/>
    <n v="26"/>
    <n v="328420"/>
    <n v="8538920"/>
  </r>
  <r>
    <x v="19"/>
    <x v="4"/>
    <x v="0"/>
    <x v="0"/>
    <n v="14"/>
    <n v="296214"/>
    <n v="4146996"/>
  </r>
  <r>
    <x v="19"/>
    <x v="4"/>
    <x v="4"/>
    <x v="2"/>
    <n v="59"/>
    <n v="409953"/>
    <n v="24187227"/>
  </r>
  <r>
    <x v="19"/>
    <x v="4"/>
    <x v="0"/>
    <x v="0"/>
    <n v="39"/>
    <n v="291570"/>
    <n v="11371230"/>
  </r>
  <r>
    <x v="20"/>
    <x v="4"/>
    <x v="4"/>
    <x v="0"/>
    <n v="103"/>
    <n v="99613"/>
    <n v="10260139"/>
  </r>
  <r>
    <x v="20"/>
    <x v="4"/>
    <x v="0"/>
    <x v="0"/>
    <n v="60"/>
    <n v="460348"/>
    <n v="27620880"/>
  </r>
  <r>
    <x v="20"/>
    <x v="4"/>
    <x v="1"/>
    <x v="4"/>
    <n v="43"/>
    <n v="144055"/>
    <n v="6194365"/>
  </r>
  <r>
    <x v="20"/>
    <x v="4"/>
    <x v="0"/>
    <x v="4"/>
    <n v="15"/>
    <n v="104071"/>
    <n v="1561065"/>
  </r>
  <r>
    <x v="20"/>
    <x v="4"/>
    <x v="1"/>
    <x v="3"/>
    <n v="86"/>
    <n v="279708"/>
    <n v="24054888"/>
  </r>
  <r>
    <x v="20"/>
    <x v="4"/>
    <x v="1"/>
    <x v="0"/>
    <n v="42"/>
    <n v="221837"/>
    <n v="9317154"/>
  </r>
  <r>
    <x v="20"/>
    <x v="4"/>
    <x v="4"/>
    <x v="1"/>
    <n v="34"/>
    <n v="135341"/>
    <n v="4601594"/>
  </r>
  <r>
    <x v="20"/>
    <x v="4"/>
    <x v="1"/>
    <x v="0"/>
    <n v="18"/>
    <n v="451759"/>
    <n v="8131662"/>
  </r>
  <r>
    <x v="20"/>
    <x v="4"/>
    <x v="0"/>
    <x v="1"/>
    <n v="46"/>
    <n v="432845"/>
    <n v="19910870"/>
  </r>
  <r>
    <x v="20"/>
    <x v="4"/>
    <x v="2"/>
    <x v="4"/>
    <n v="117"/>
    <n v="203259"/>
    <n v="23781303"/>
  </r>
  <r>
    <x v="20"/>
    <x v="4"/>
    <x v="0"/>
    <x v="4"/>
    <n v="10"/>
    <n v="191144"/>
    <n v="1911440"/>
  </r>
  <r>
    <x v="20"/>
    <x v="4"/>
    <x v="1"/>
    <x v="0"/>
    <n v="65"/>
    <n v="42733"/>
    <n v="2777645"/>
  </r>
  <r>
    <x v="20"/>
    <x v="4"/>
    <x v="1"/>
    <x v="5"/>
    <n v="14"/>
    <n v="175873"/>
    <n v="2462222"/>
  </r>
  <r>
    <x v="20"/>
    <x v="4"/>
    <x v="2"/>
    <x v="3"/>
    <n v="37"/>
    <n v="443816"/>
    <n v="16421192"/>
  </r>
  <r>
    <x v="21"/>
    <x v="4"/>
    <x v="1"/>
    <x v="3"/>
    <n v="110"/>
    <n v="176472"/>
    <n v="19411920"/>
  </r>
  <r>
    <x v="21"/>
    <x v="4"/>
    <x v="0"/>
    <x v="1"/>
    <n v="88"/>
    <n v="511946"/>
    <n v="45051248"/>
  </r>
  <r>
    <x v="21"/>
    <x v="4"/>
    <x v="1"/>
    <x v="2"/>
    <n v="101"/>
    <n v="248506"/>
    <n v="25099106"/>
  </r>
  <r>
    <x v="21"/>
    <x v="4"/>
    <x v="0"/>
    <x v="1"/>
    <n v="56"/>
    <n v="509722"/>
    <n v="28544432"/>
  </r>
  <r>
    <x v="21"/>
    <x v="4"/>
    <x v="4"/>
    <x v="4"/>
    <n v="25"/>
    <n v="203283"/>
    <n v="5082075"/>
  </r>
  <r>
    <x v="21"/>
    <x v="4"/>
    <x v="1"/>
    <x v="0"/>
    <n v="63"/>
    <n v="441413"/>
    <n v="27809019"/>
  </r>
  <r>
    <x v="21"/>
    <x v="4"/>
    <x v="1"/>
    <x v="3"/>
    <n v="110"/>
    <n v="312186"/>
    <n v="34340460"/>
  </r>
  <r>
    <x v="21"/>
    <x v="4"/>
    <x v="4"/>
    <x v="2"/>
    <n v="41"/>
    <n v="196626"/>
    <n v="8061666"/>
  </r>
  <r>
    <x v="21"/>
    <x v="4"/>
    <x v="1"/>
    <x v="3"/>
    <n v="5"/>
    <n v="475966"/>
    <n v="2379830"/>
  </r>
  <r>
    <x v="21"/>
    <x v="4"/>
    <x v="0"/>
    <x v="3"/>
    <n v="99"/>
    <n v="465699"/>
    <n v="46104201"/>
  </r>
  <r>
    <x v="21"/>
    <x v="4"/>
    <x v="1"/>
    <x v="5"/>
    <n v="106"/>
    <n v="487602"/>
    <n v="51685812"/>
  </r>
  <r>
    <x v="21"/>
    <x v="4"/>
    <x v="2"/>
    <x v="0"/>
    <n v="17"/>
    <n v="384999"/>
    <n v="6544983"/>
  </r>
  <r>
    <x v="21"/>
    <x v="4"/>
    <x v="2"/>
    <x v="3"/>
    <n v="13"/>
    <n v="305804"/>
    <n v="3975452"/>
  </r>
  <r>
    <x v="21"/>
    <x v="4"/>
    <x v="0"/>
    <x v="5"/>
    <n v="68"/>
    <n v="44701"/>
    <n v="3039668"/>
  </r>
  <r>
    <x v="21"/>
    <x v="4"/>
    <x v="3"/>
    <x v="0"/>
    <n v="105"/>
    <n v="252615"/>
    <n v="26524575"/>
  </r>
  <r>
    <x v="21"/>
    <x v="4"/>
    <x v="0"/>
    <x v="3"/>
    <n v="29"/>
    <n v="337304"/>
    <n v="9781816"/>
  </r>
  <r>
    <x v="21"/>
    <x v="5"/>
    <x v="4"/>
    <x v="3"/>
    <n v="76"/>
    <n v="104377"/>
    <n v="7932652"/>
  </r>
  <r>
    <x v="22"/>
    <x v="5"/>
    <x v="1"/>
    <x v="4"/>
    <n v="11"/>
    <n v="322250"/>
    <n v="3544750"/>
  </r>
  <r>
    <x v="22"/>
    <x v="5"/>
    <x v="0"/>
    <x v="5"/>
    <n v="38"/>
    <n v="145044"/>
    <n v="5511672"/>
  </r>
  <r>
    <x v="22"/>
    <x v="5"/>
    <x v="4"/>
    <x v="4"/>
    <n v="70"/>
    <n v="413119"/>
    <n v="28918330"/>
  </r>
  <r>
    <x v="22"/>
    <x v="5"/>
    <x v="1"/>
    <x v="2"/>
    <n v="77"/>
    <n v="135991"/>
    <n v="10471307"/>
  </r>
  <r>
    <x v="22"/>
    <x v="5"/>
    <x v="1"/>
    <x v="5"/>
    <n v="115"/>
    <n v="138322"/>
    <n v="15907030"/>
  </r>
  <r>
    <x v="22"/>
    <x v="5"/>
    <x v="3"/>
    <x v="0"/>
    <n v="77"/>
    <n v="109616"/>
    <n v="8440432"/>
  </r>
  <r>
    <x v="22"/>
    <x v="5"/>
    <x v="0"/>
    <x v="3"/>
    <n v="97"/>
    <n v="500042"/>
    <n v="48504074"/>
  </r>
  <r>
    <x v="22"/>
    <x v="5"/>
    <x v="1"/>
    <x v="0"/>
    <n v="107"/>
    <n v="530547"/>
    <n v="56768529"/>
  </r>
  <r>
    <x v="22"/>
    <x v="5"/>
    <x v="2"/>
    <x v="1"/>
    <n v="60"/>
    <n v="204692"/>
    <n v="12281520"/>
  </r>
  <r>
    <x v="22"/>
    <x v="5"/>
    <x v="4"/>
    <x v="0"/>
    <n v="115"/>
    <n v="88249"/>
    <n v="10148635"/>
  </r>
  <r>
    <x v="22"/>
    <x v="5"/>
    <x v="1"/>
    <x v="5"/>
    <n v="30"/>
    <n v="52534"/>
    <n v="1576020"/>
  </r>
  <r>
    <x v="22"/>
    <x v="5"/>
    <x v="0"/>
    <x v="1"/>
    <n v="2"/>
    <n v="452061"/>
    <n v="904122"/>
  </r>
  <r>
    <x v="22"/>
    <x v="5"/>
    <x v="0"/>
    <x v="2"/>
    <n v="39"/>
    <n v="85713"/>
    <n v="3342807"/>
  </r>
  <r>
    <x v="22"/>
    <x v="5"/>
    <x v="3"/>
    <x v="5"/>
    <n v="113"/>
    <n v="138232"/>
    <n v="15620216"/>
  </r>
  <r>
    <x v="22"/>
    <x v="5"/>
    <x v="0"/>
    <x v="2"/>
    <n v="64"/>
    <n v="335996"/>
    <n v="21503744"/>
  </r>
  <r>
    <x v="23"/>
    <x v="5"/>
    <x v="3"/>
    <x v="3"/>
    <n v="30"/>
    <n v="513238"/>
    <n v="15397140"/>
  </r>
  <r>
    <x v="23"/>
    <x v="5"/>
    <x v="4"/>
    <x v="2"/>
    <n v="63"/>
    <n v="273579"/>
    <n v="17235477"/>
  </r>
  <r>
    <x v="23"/>
    <x v="5"/>
    <x v="1"/>
    <x v="4"/>
    <n v="93"/>
    <n v="448755"/>
    <n v="41734215"/>
  </r>
  <r>
    <x v="23"/>
    <x v="5"/>
    <x v="3"/>
    <x v="2"/>
    <n v="64"/>
    <n v="336032"/>
    <n v="21506048"/>
  </r>
  <r>
    <x v="23"/>
    <x v="5"/>
    <x v="0"/>
    <x v="0"/>
    <n v="22"/>
    <n v="293097"/>
    <n v="6448134"/>
  </r>
  <r>
    <x v="23"/>
    <x v="5"/>
    <x v="4"/>
    <x v="1"/>
    <n v="50"/>
    <n v="440783"/>
    <n v="22039150"/>
  </r>
  <r>
    <x v="23"/>
    <x v="5"/>
    <x v="0"/>
    <x v="4"/>
    <n v="36"/>
    <n v="494090"/>
    <n v="17787240"/>
  </r>
  <r>
    <x v="23"/>
    <x v="5"/>
    <x v="1"/>
    <x v="0"/>
    <n v="76"/>
    <n v="542101"/>
    <n v="41199676"/>
  </r>
  <r>
    <x v="23"/>
    <x v="5"/>
    <x v="3"/>
    <x v="5"/>
    <n v="58"/>
    <n v="237286"/>
    <n v="13762588"/>
  </r>
  <r>
    <x v="23"/>
    <x v="5"/>
    <x v="2"/>
    <x v="3"/>
    <n v="98"/>
    <n v="242732"/>
    <n v="23787736"/>
  </r>
  <r>
    <x v="23"/>
    <x v="5"/>
    <x v="3"/>
    <x v="1"/>
    <n v="13"/>
    <n v="223030"/>
    <n v="2899390"/>
  </r>
  <r>
    <x v="23"/>
    <x v="5"/>
    <x v="1"/>
    <x v="2"/>
    <n v="75"/>
    <n v="295555"/>
    <n v="22166625"/>
  </r>
  <r>
    <x v="23"/>
    <x v="5"/>
    <x v="0"/>
    <x v="3"/>
    <n v="22"/>
    <n v="294186"/>
    <n v="6472092"/>
  </r>
  <r>
    <x v="23"/>
    <x v="5"/>
    <x v="2"/>
    <x v="1"/>
    <n v="108"/>
    <n v="234695"/>
    <n v="25347060"/>
  </r>
  <r>
    <x v="23"/>
    <x v="5"/>
    <x v="1"/>
    <x v="0"/>
    <n v="47"/>
    <n v="222943"/>
    <n v="10478321"/>
  </r>
  <r>
    <x v="23"/>
    <x v="5"/>
    <x v="0"/>
    <x v="1"/>
    <n v="6"/>
    <n v="372130"/>
    <n v="2232780"/>
  </r>
  <r>
    <x v="24"/>
    <x v="5"/>
    <x v="3"/>
    <x v="5"/>
    <n v="1"/>
    <n v="251531"/>
    <n v="251531"/>
  </r>
  <r>
    <x v="24"/>
    <x v="5"/>
    <x v="1"/>
    <x v="4"/>
    <n v="35"/>
    <n v="248360"/>
    <n v="8692600"/>
  </r>
  <r>
    <x v="24"/>
    <x v="5"/>
    <x v="4"/>
    <x v="0"/>
    <n v="15"/>
    <n v="426235"/>
    <n v="6393525"/>
  </r>
  <r>
    <x v="24"/>
    <x v="5"/>
    <x v="0"/>
    <x v="1"/>
    <n v="46"/>
    <n v="387816"/>
    <n v="17839536"/>
  </r>
  <r>
    <x v="24"/>
    <x v="5"/>
    <x v="1"/>
    <x v="5"/>
    <n v="8"/>
    <n v="355114"/>
    <n v="2840912"/>
  </r>
  <r>
    <x v="24"/>
    <x v="5"/>
    <x v="0"/>
    <x v="4"/>
    <n v="71"/>
    <n v="248260"/>
    <n v="17626460"/>
  </r>
  <r>
    <x v="24"/>
    <x v="5"/>
    <x v="4"/>
    <x v="2"/>
    <n v="3"/>
    <n v="340904"/>
    <n v="1022712"/>
  </r>
  <r>
    <x v="24"/>
    <x v="5"/>
    <x v="0"/>
    <x v="4"/>
    <n v="17"/>
    <n v="89083"/>
    <n v="1514411"/>
  </r>
  <r>
    <x v="24"/>
    <x v="5"/>
    <x v="0"/>
    <x v="3"/>
    <n v="38"/>
    <n v="264346"/>
    <n v="10045148"/>
  </r>
  <r>
    <x v="24"/>
    <x v="5"/>
    <x v="1"/>
    <x v="2"/>
    <n v="18"/>
    <n v="167661"/>
    <n v="3017898"/>
  </r>
  <r>
    <x v="24"/>
    <x v="5"/>
    <x v="0"/>
    <x v="3"/>
    <n v="95"/>
    <n v="16154"/>
    <n v="1534630"/>
  </r>
  <r>
    <x v="24"/>
    <x v="5"/>
    <x v="0"/>
    <x v="0"/>
    <n v="102"/>
    <n v="455864"/>
    <n v="46498128"/>
  </r>
  <r>
    <x v="24"/>
    <x v="5"/>
    <x v="2"/>
    <x v="3"/>
    <n v="51"/>
    <n v="446624"/>
    <n v="22777824"/>
  </r>
  <r>
    <x v="24"/>
    <x v="5"/>
    <x v="2"/>
    <x v="2"/>
    <n v="32"/>
    <n v="255198"/>
    <n v="8166336"/>
  </r>
  <r>
    <x v="24"/>
    <x v="5"/>
    <x v="2"/>
    <x v="5"/>
    <n v="92"/>
    <n v="320931"/>
    <n v="29525652"/>
  </r>
  <r>
    <x v="24"/>
    <x v="5"/>
    <x v="4"/>
    <x v="3"/>
    <n v="97"/>
    <n v="278512"/>
    <n v="27015664"/>
  </r>
  <r>
    <x v="24"/>
    <x v="5"/>
    <x v="1"/>
    <x v="5"/>
    <n v="30"/>
    <n v="229724"/>
    <n v="6891720"/>
  </r>
  <r>
    <x v="25"/>
    <x v="5"/>
    <x v="2"/>
    <x v="5"/>
    <n v="103"/>
    <n v="60861"/>
    <n v="6268683"/>
  </r>
  <r>
    <x v="25"/>
    <x v="5"/>
    <x v="0"/>
    <x v="3"/>
    <n v="98"/>
    <n v="19078"/>
    <n v="1869644"/>
  </r>
  <r>
    <x v="25"/>
    <x v="5"/>
    <x v="3"/>
    <x v="2"/>
    <n v="61"/>
    <n v="405141"/>
    <n v="24713601"/>
  </r>
  <r>
    <x v="25"/>
    <x v="5"/>
    <x v="0"/>
    <x v="5"/>
    <n v="103"/>
    <n v="167087"/>
    <n v="17209961"/>
  </r>
  <r>
    <x v="25"/>
    <x v="5"/>
    <x v="0"/>
    <x v="4"/>
    <n v="8"/>
    <n v="374359"/>
    <n v="2994872"/>
  </r>
  <r>
    <x v="25"/>
    <x v="5"/>
    <x v="2"/>
    <x v="0"/>
    <n v="84"/>
    <n v="416845"/>
    <n v="35014980"/>
  </r>
  <r>
    <x v="25"/>
    <x v="5"/>
    <x v="0"/>
    <x v="4"/>
    <n v="7"/>
    <n v="187235"/>
    <n v="1310645"/>
  </r>
  <r>
    <x v="25"/>
    <x v="5"/>
    <x v="2"/>
    <x v="3"/>
    <n v="58"/>
    <n v="108818"/>
    <n v="6311444"/>
  </r>
  <r>
    <x v="25"/>
    <x v="5"/>
    <x v="0"/>
    <x v="2"/>
    <n v="106"/>
    <n v="383706"/>
    <n v="40672836"/>
  </r>
  <r>
    <x v="25"/>
    <x v="5"/>
    <x v="0"/>
    <x v="1"/>
    <n v="87"/>
    <n v="529052"/>
    <n v="46027524"/>
  </r>
  <r>
    <x v="25"/>
    <x v="5"/>
    <x v="3"/>
    <x v="4"/>
    <n v="19"/>
    <n v="161094"/>
    <n v="3060786"/>
  </r>
  <r>
    <x v="25"/>
    <x v="5"/>
    <x v="1"/>
    <x v="1"/>
    <n v="8"/>
    <n v="38380"/>
    <n v="307040"/>
  </r>
  <r>
    <x v="25"/>
    <x v="5"/>
    <x v="0"/>
    <x v="2"/>
    <n v="32"/>
    <n v="230971"/>
    <n v="7391072"/>
  </r>
  <r>
    <x v="25"/>
    <x v="5"/>
    <x v="4"/>
    <x v="3"/>
    <n v="83"/>
    <n v="178484"/>
    <n v="14814172"/>
  </r>
  <r>
    <x v="25"/>
    <x v="5"/>
    <x v="3"/>
    <x v="0"/>
    <n v="3"/>
    <n v="351705"/>
    <n v="1055115"/>
  </r>
  <r>
    <x v="25"/>
    <x v="5"/>
    <x v="1"/>
    <x v="4"/>
    <n v="93"/>
    <n v="501872"/>
    <n v="46674096"/>
  </r>
  <r>
    <x v="25"/>
    <x v="5"/>
    <x v="0"/>
    <x v="5"/>
    <n v="94"/>
    <n v="384484"/>
    <n v="36141496"/>
  </r>
  <r>
    <x v="25"/>
    <x v="5"/>
    <x v="1"/>
    <x v="4"/>
    <n v="24"/>
    <n v="451124"/>
    <n v="10826976"/>
  </r>
  <r>
    <x v="25"/>
    <x v="5"/>
    <x v="0"/>
    <x v="3"/>
    <n v="20"/>
    <n v="311207"/>
    <n v="6224140"/>
  </r>
  <r>
    <x v="25"/>
    <x v="5"/>
    <x v="3"/>
    <x v="5"/>
    <n v="96"/>
    <n v="429065"/>
    <n v="41190240"/>
  </r>
  <r>
    <x v="26"/>
    <x v="5"/>
    <x v="0"/>
    <x v="4"/>
    <n v="66"/>
    <n v="299102"/>
    <n v="19740732"/>
  </r>
  <r>
    <x v="26"/>
    <x v="5"/>
    <x v="2"/>
    <x v="2"/>
    <n v="39"/>
    <n v="289922"/>
    <n v="11306958"/>
  </r>
  <r>
    <x v="26"/>
    <x v="5"/>
    <x v="1"/>
    <x v="5"/>
    <n v="12"/>
    <n v="259474"/>
    <n v="3113688"/>
  </r>
  <r>
    <x v="26"/>
    <x v="5"/>
    <x v="1"/>
    <x v="4"/>
    <n v="15"/>
    <n v="530985"/>
    <n v="7964775"/>
  </r>
  <r>
    <x v="26"/>
    <x v="5"/>
    <x v="2"/>
    <x v="5"/>
    <n v="87"/>
    <n v="207133"/>
    <n v="18020571"/>
  </r>
  <r>
    <x v="26"/>
    <x v="5"/>
    <x v="0"/>
    <x v="3"/>
    <n v="37"/>
    <n v="186037"/>
    <n v="6883369"/>
  </r>
  <r>
    <x v="26"/>
    <x v="5"/>
    <x v="2"/>
    <x v="4"/>
    <n v="118"/>
    <n v="307190"/>
    <n v="36248420"/>
  </r>
  <r>
    <x v="26"/>
    <x v="5"/>
    <x v="4"/>
    <x v="3"/>
    <n v="103"/>
    <n v="111520"/>
    <n v="11486560"/>
  </r>
  <r>
    <x v="26"/>
    <x v="5"/>
    <x v="0"/>
    <x v="1"/>
    <n v="28"/>
    <n v="339793"/>
    <n v="9514204"/>
  </r>
  <r>
    <x v="26"/>
    <x v="5"/>
    <x v="1"/>
    <x v="4"/>
    <n v="65"/>
    <n v="162999"/>
    <n v="10594935"/>
  </r>
  <r>
    <x v="26"/>
    <x v="5"/>
    <x v="1"/>
    <x v="5"/>
    <n v="23"/>
    <n v="245806"/>
    <n v="5653538"/>
  </r>
  <r>
    <x v="26"/>
    <x v="5"/>
    <x v="3"/>
    <x v="5"/>
    <n v="118"/>
    <n v="354333"/>
    <n v="41811294"/>
  </r>
  <r>
    <x v="26"/>
    <x v="5"/>
    <x v="1"/>
    <x v="3"/>
    <n v="10"/>
    <n v="121453"/>
    <n v="1214530"/>
  </r>
  <r>
    <x v="26"/>
    <x v="5"/>
    <x v="1"/>
    <x v="3"/>
    <n v="20"/>
    <n v="426715"/>
    <n v="8534300"/>
  </r>
  <r>
    <x v="26"/>
    <x v="5"/>
    <x v="2"/>
    <x v="1"/>
    <n v="84"/>
    <n v="226184"/>
    <n v="18999456"/>
  </r>
  <r>
    <x v="26"/>
    <x v="5"/>
    <x v="0"/>
    <x v="3"/>
    <n v="101"/>
    <n v="287707"/>
    <n v="29058407"/>
  </r>
  <r>
    <x v="26"/>
    <x v="5"/>
    <x v="0"/>
    <x v="2"/>
    <n v="44"/>
    <n v="351815"/>
    <n v="15479860"/>
  </r>
  <r>
    <x v="26"/>
    <x v="5"/>
    <x v="0"/>
    <x v="2"/>
    <n v="61"/>
    <n v="44707"/>
    <n v="2727127"/>
  </r>
  <r>
    <x v="26"/>
    <x v="5"/>
    <x v="4"/>
    <x v="1"/>
    <n v="73"/>
    <n v="363299"/>
    <n v="26520827"/>
  </r>
  <r>
    <x v="26"/>
    <x v="5"/>
    <x v="0"/>
    <x v="1"/>
    <n v="119"/>
    <n v="404274"/>
    <n v="48108606"/>
  </r>
  <r>
    <x v="26"/>
    <x v="5"/>
    <x v="1"/>
    <x v="0"/>
    <n v="59"/>
    <n v="170928"/>
    <n v="10084752"/>
  </r>
  <r>
    <x v="26"/>
    <x v="5"/>
    <x v="2"/>
    <x v="0"/>
    <n v="12"/>
    <n v="258500"/>
    <n v="3102000"/>
  </r>
  <r>
    <x v="26"/>
    <x v="6"/>
    <x v="3"/>
    <x v="0"/>
    <n v="98"/>
    <n v="156470"/>
    <n v="15334060"/>
  </r>
  <r>
    <x v="27"/>
    <x v="6"/>
    <x v="4"/>
    <x v="4"/>
    <n v="23"/>
    <n v="509115"/>
    <n v="11709645"/>
  </r>
  <r>
    <x v="27"/>
    <x v="6"/>
    <x v="0"/>
    <x v="5"/>
    <n v="45"/>
    <n v="400479"/>
    <n v="18021555"/>
  </r>
  <r>
    <x v="27"/>
    <x v="6"/>
    <x v="0"/>
    <x v="1"/>
    <n v="119"/>
    <n v="131863"/>
    <n v="15691697"/>
  </r>
  <r>
    <x v="27"/>
    <x v="6"/>
    <x v="0"/>
    <x v="5"/>
    <n v="119"/>
    <n v="58320"/>
    <n v="6940080"/>
  </r>
  <r>
    <x v="27"/>
    <x v="6"/>
    <x v="3"/>
    <x v="3"/>
    <n v="74"/>
    <n v="458625"/>
    <n v="33938250"/>
  </r>
  <r>
    <x v="27"/>
    <x v="6"/>
    <x v="4"/>
    <x v="3"/>
    <n v="8"/>
    <n v="469054"/>
    <n v="3752432"/>
  </r>
  <r>
    <x v="27"/>
    <x v="6"/>
    <x v="0"/>
    <x v="2"/>
    <n v="91"/>
    <n v="183895"/>
    <n v="16734445"/>
  </r>
  <r>
    <x v="27"/>
    <x v="6"/>
    <x v="0"/>
    <x v="2"/>
    <n v="33"/>
    <n v="111376"/>
    <n v="3675408"/>
  </r>
  <r>
    <x v="27"/>
    <x v="6"/>
    <x v="1"/>
    <x v="5"/>
    <n v="48"/>
    <n v="482132"/>
    <n v="23142336"/>
  </r>
  <r>
    <x v="27"/>
    <x v="6"/>
    <x v="2"/>
    <x v="2"/>
    <n v="92"/>
    <n v="472785"/>
    <n v="43496220"/>
  </r>
  <r>
    <x v="27"/>
    <x v="6"/>
    <x v="0"/>
    <x v="3"/>
    <n v="73"/>
    <n v="532828"/>
    <n v="38896444"/>
  </r>
  <r>
    <x v="27"/>
    <x v="6"/>
    <x v="3"/>
    <x v="2"/>
    <n v="68"/>
    <n v="529777"/>
    <n v="36024836"/>
  </r>
  <r>
    <x v="27"/>
    <x v="6"/>
    <x v="2"/>
    <x v="2"/>
    <n v="4"/>
    <n v="494965"/>
    <n v="1979860"/>
  </r>
  <r>
    <x v="27"/>
    <x v="6"/>
    <x v="4"/>
    <x v="1"/>
    <n v="82"/>
    <n v="255014"/>
    <n v="20911148"/>
  </r>
  <r>
    <x v="27"/>
    <x v="6"/>
    <x v="3"/>
    <x v="2"/>
    <n v="1"/>
    <n v="404583"/>
    <n v="404583"/>
  </r>
  <r>
    <x v="27"/>
    <x v="6"/>
    <x v="0"/>
    <x v="3"/>
    <n v="89"/>
    <n v="61924"/>
    <n v="5511236"/>
  </r>
  <r>
    <x v="28"/>
    <x v="6"/>
    <x v="0"/>
    <x v="1"/>
    <n v="71"/>
    <n v="218786"/>
    <n v="15533806"/>
  </r>
  <r>
    <x v="28"/>
    <x v="6"/>
    <x v="0"/>
    <x v="0"/>
    <n v="33"/>
    <n v="149999"/>
    <n v="4949967"/>
  </r>
  <r>
    <x v="28"/>
    <x v="6"/>
    <x v="0"/>
    <x v="2"/>
    <n v="102"/>
    <n v="463449"/>
    <n v="47271798"/>
  </r>
  <r>
    <x v="28"/>
    <x v="6"/>
    <x v="0"/>
    <x v="5"/>
    <n v="3"/>
    <n v="235049"/>
    <n v="705147"/>
  </r>
  <r>
    <x v="28"/>
    <x v="6"/>
    <x v="2"/>
    <x v="5"/>
    <n v="28"/>
    <n v="41348"/>
    <n v="1157744"/>
  </r>
  <r>
    <x v="28"/>
    <x v="6"/>
    <x v="0"/>
    <x v="1"/>
    <n v="12"/>
    <n v="293780"/>
    <n v="3525360"/>
  </r>
  <r>
    <x v="28"/>
    <x v="6"/>
    <x v="0"/>
    <x v="2"/>
    <n v="44"/>
    <n v="345914"/>
    <n v="15220216"/>
  </r>
  <r>
    <x v="28"/>
    <x v="6"/>
    <x v="2"/>
    <x v="4"/>
    <n v="114"/>
    <n v="69182"/>
    <n v="7886748"/>
  </r>
  <r>
    <x v="28"/>
    <x v="6"/>
    <x v="0"/>
    <x v="4"/>
    <n v="25"/>
    <n v="149978"/>
    <n v="3749450"/>
  </r>
  <r>
    <x v="28"/>
    <x v="6"/>
    <x v="1"/>
    <x v="5"/>
    <n v="13"/>
    <n v="268517"/>
    <n v="3490721"/>
  </r>
  <r>
    <x v="28"/>
    <x v="6"/>
    <x v="2"/>
    <x v="0"/>
    <n v="68"/>
    <n v="213502"/>
    <n v="14518136"/>
  </r>
  <r>
    <x v="28"/>
    <x v="6"/>
    <x v="4"/>
    <x v="5"/>
    <n v="36"/>
    <n v="467373"/>
    <n v="16825428"/>
  </r>
  <r>
    <x v="28"/>
    <x v="6"/>
    <x v="0"/>
    <x v="0"/>
    <n v="77"/>
    <n v="267368"/>
    <n v="20587336"/>
  </r>
  <r>
    <x v="28"/>
    <x v="6"/>
    <x v="0"/>
    <x v="1"/>
    <n v="95"/>
    <n v="185211"/>
    <n v="17595045"/>
  </r>
  <r>
    <x v="28"/>
    <x v="6"/>
    <x v="0"/>
    <x v="3"/>
    <n v="71"/>
    <n v="492238"/>
    <n v="34948898"/>
  </r>
  <r>
    <x v="28"/>
    <x v="6"/>
    <x v="4"/>
    <x v="4"/>
    <n v="61"/>
    <n v="129735"/>
    <n v="7913835"/>
  </r>
  <r>
    <x v="29"/>
    <x v="6"/>
    <x v="0"/>
    <x v="3"/>
    <n v="118"/>
    <n v="372246"/>
    <n v="43925028"/>
  </r>
  <r>
    <x v="29"/>
    <x v="6"/>
    <x v="0"/>
    <x v="0"/>
    <n v="45"/>
    <n v="416889"/>
    <n v="18760005"/>
  </r>
  <r>
    <x v="29"/>
    <x v="6"/>
    <x v="1"/>
    <x v="1"/>
    <n v="119"/>
    <n v="206501"/>
    <n v="24573619"/>
  </r>
  <r>
    <x v="29"/>
    <x v="6"/>
    <x v="2"/>
    <x v="3"/>
    <n v="92"/>
    <n v="235160"/>
    <n v="21634720"/>
  </r>
  <r>
    <x v="29"/>
    <x v="6"/>
    <x v="0"/>
    <x v="3"/>
    <n v="10"/>
    <n v="85388"/>
    <n v="853880"/>
  </r>
  <r>
    <x v="29"/>
    <x v="6"/>
    <x v="4"/>
    <x v="5"/>
    <n v="91"/>
    <n v="44084"/>
    <n v="4011644"/>
  </r>
  <r>
    <x v="29"/>
    <x v="6"/>
    <x v="3"/>
    <x v="3"/>
    <n v="100"/>
    <n v="172982"/>
    <n v="17298200"/>
  </r>
  <r>
    <x v="29"/>
    <x v="6"/>
    <x v="4"/>
    <x v="3"/>
    <n v="19"/>
    <n v="353715"/>
    <n v="6720585"/>
  </r>
  <r>
    <x v="30"/>
    <x v="6"/>
    <x v="0"/>
    <x v="0"/>
    <n v="114"/>
    <n v="205246"/>
    <n v="23398044"/>
  </r>
  <r>
    <x v="30"/>
    <x v="6"/>
    <x v="0"/>
    <x v="1"/>
    <n v="98"/>
    <n v="59104"/>
    <n v="5792192"/>
  </r>
  <r>
    <x v="30"/>
    <x v="6"/>
    <x v="0"/>
    <x v="5"/>
    <n v="35"/>
    <n v="295855"/>
    <n v="10354925"/>
  </r>
  <r>
    <x v="30"/>
    <x v="6"/>
    <x v="0"/>
    <x v="3"/>
    <n v="78"/>
    <n v="461000"/>
    <n v="35958000"/>
  </r>
  <r>
    <x v="30"/>
    <x v="6"/>
    <x v="4"/>
    <x v="5"/>
    <n v="64"/>
    <n v="538646"/>
    <n v="34473344"/>
  </r>
  <r>
    <x v="30"/>
    <x v="6"/>
    <x v="3"/>
    <x v="3"/>
    <n v="42"/>
    <n v="304054"/>
    <n v="12770268"/>
  </r>
  <r>
    <x v="30"/>
    <x v="6"/>
    <x v="3"/>
    <x v="2"/>
    <n v="103"/>
    <n v="119847"/>
    <n v="12344241"/>
  </r>
  <r>
    <x v="30"/>
    <x v="6"/>
    <x v="3"/>
    <x v="1"/>
    <n v="68"/>
    <n v="306037"/>
    <n v="20810516"/>
  </r>
  <r>
    <x v="30"/>
    <x v="6"/>
    <x v="2"/>
    <x v="4"/>
    <n v="36"/>
    <n v="122356"/>
    <n v="4404816"/>
  </r>
  <r>
    <x v="30"/>
    <x v="6"/>
    <x v="3"/>
    <x v="2"/>
    <n v="73"/>
    <n v="64624"/>
    <n v="4717552"/>
  </r>
  <r>
    <x v="30"/>
    <x v="6"/>
    <x v="0"/>
    <x v="3"/>
    <n v="103"/>
    <n v="387539"/>
    <n v="39916517"/>
  </r>
  <r>
    <x v="30"/>
    <x v="6"/>
    <x v="0"/>
    <x v="0"/>
    <n v="2"/>
    <n v="282900"/>
    <n v="565800"/>
  </r>
  <r>
    <x v="30"/>
    <x v="6"/>
    <x v="1"/>
    <x v="0"/>
    <n v="8"/>
    <n v="175575"/>
    <n v="1404600"/>
  </r>
  <r>
    <x v="30"/>
    <x v="6"/>
    <x v="2"/>
    <x v="0"/>
    <n v="44"/>
    <n v="503948"/>
    <n v="22173712"/>
  </r>
  <r>
    <x v="30"/>
    <x v="6"/>
    <x v="2"/>
    <x v="4"/>
    <n v="70"/>
    <n v="408465"/>
    <n v="28592550"/>
  </r>
  <r>
    <x v="30"/>
    <x v="6"/>
    <x v="4"/>
    <x v="2"/>
    <n v="102"/>
    <n v="521778"/>
    <n v="53221356"/>
  </r>
  <r>
    <x v="30"/>
    <x v="6"/>
    <x v="0"/>
    <x v="4"/>
    <n v="8"/>
    <n v="185915"/>
    <n v="1487320"/>
  </r>
  <r>
    <x v="30"/>
    <x v="6"/>
    <x v="1"/>
    <x v="3"/>
    <n v="77"/>
    <n v="282670"/>
    <n v="21765590"/>
  </r>
  <r>
    <x v="30"/>
    <x v="6"/>
    <x v="0"/>
    <x v="2"/>
    <n v="80"/>
    <n v="242041"/>
    <n v="19363280"/>
  </r>
  <r>
    <x v="30"/>
    <x v="6"/>
    <x v="0"/>
    <x v="3"/>
    <n v="55"/>
    <n v="266911"/>
    <n v="14680105"/>
  </r>
  <r>
    <x v="30"/>
    <x v="6"/>
    <x v="0"/>
    <x v="2"/>
    <n v="8"/>
    <n v="180963"/>
    <n v="1447704"/>
  </r>
  <r>
    <x v="30"/>
    <x v="6"/>
    <x v="1"/>
    <x v="2"/>
    <n v="23"/>
    <n v="196994"/>
    <n v="4530862"/>
  </r>
  <r>
    <x v="30"/>
    <x v="6"/>
    <x v="1"/>
    <x v="3"/>
    <n v="84"/>
    <n v="203783"/>
    <n v="17117772"/>
  </r>
  <r>
    <x v="31"/>
    <x v="6"/>
    <x v="0"/>
    <x v="5"/>
    <n v="30"/>
    <n v="227029"/>
    <n v="6810870"/>
  </r>
  <r>
    <x v="31"/>
    <x v="6"/>
    <x v="0"/>
    <x v="4"/>
    <n v="32"/>
    <n v="129968"/>
    <n v="4158976"/>
  </r>
  <r>
    <x v="31"/>
    <x v="6"/>
    <x v="2"/>
    <x v="2"/>
    <n v="116"/>
    <n v="29169"/>
    <n v="3383604"/>
  </r>
  <r>
    <x v="31"/>
    <x v="6"/>
    <x v="0"/>
    <x v="1"/>
    <n v="97"/>
    <n v="277926"/>
    <n v="26958822"/>
  </r>
  <r>
    <x v="31"/>
    <x v="6"/>
    <x v="4"/>
    <x v="3"/>
    <n v="105"/>
    <n v="188936"/>
    <n v="19838280"/>
  </r>
  <r>
    <x v="31"/>
    <x v="6"/>
    <x v="3"/>
    <x v="5"/>
    <n v="67"/>
    <n v="48067"/>
    <n v="3220489"/>
  </r>
  <r>
    <x v="31"/>
    <x v="6"/>
    <x v="0"/>
    <x v="0"/>
    <n v="82"/>
    <n v="243782"/>
    <n v="19990124"/>
  </r>
  <r>
    <x v="31"/>
    <x v="6"/>
    <x v="2"/>
    <x v="4"/>
    <n v="43"/>
    <n v="544670"/>
    <n v="23420810"/>
  </r>
  <r>
    <x v="31"/>
    <x v="6"/>
    <x v="1"/>
    <x v="3"/>
    <n v="116"/>
    <n v="71929"/>
    <n v="8343764"/>
  </r>
  <r>
    <x v="31"/>
    <x v="6"/>
    <x v="4"/>
    <x v="0"/>
    <n v="38"/>
    <n v="297313"/>
    <n v="11297894"/>
  </r>
  <r>
    <x v="31"/>
    <x v="6"/>
    <x v="2"/>
    <x v="2"/>
    <n v="88"/>
    <n v="55033"/>
    <n v="4842904"/>
  </r>
  <r>
    <x v="31"/>
    <x v="6"/>
    <x v="2"/>
    <x v="2"/>
    <n v="67"/>
    <n v="303894"/>
    <n v="20360898"/>
  </r>
  <r>
    <x v="31"/>
    <x v="6"/>
    <x v="0"/>
    <x v="5"/>
    <n v="15"/>
    <n v="213981"/>
    <n v="3209715"/>
  </r>
  <r>
    <x v="31"/>
    <x v="6"/>
    <x v="4"/>
    <x v="3"/>
    <n v="25"/>
    <n v="466956"/>
    <n v="11673900"/>
  </r>
  <r>
    <x v="31"/>
    <x v="6"/>
    <x v="0"/>
    <x v="2"/>
    <n v="95"/>
    <n v="15901"/>
    <n v="15105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744A0-9BFA-4C7B-8BC4-4680648EC591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M4:N36" firstHeaderRow="1" firstDataRow="1" firstDataCol="1"/>
  <pivotFields count="8">
    <pivotField numFmtId="164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7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Revenue" fld="6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3083A-3DE0-4647-A1FE-39A67B776FDD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10" firstHeaderRow="1" firstDataRow="1" firstDataCol="1"/>
  <pivotFields count="8">
    <pivotField numFmtId="164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venue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DE346-A4CF-45E3-874F-E080529A97FF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4:F11" firstHeaderRow="1" firstDataRow="1" firstDataCol="1"/>
  <pivotFields count="8">
    <pivotField numFmtId="164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axis="axisRow" showAll="0">
      <items count="7">
        <item x="5"/>
        <item x="2"/>
        <item x="1"/>
        <item x="4"/>
        <item x="3"/>
        <item x="0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4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0030D-6B59-4AF3-86DA-1D1A2A77183D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8">
    <pivotField numFmtId="164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6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8C2D-1C84-40EE-B413-9ECE3338E36A}">
  <dimension ref="A1:N36"/>
  <sheetViews>
    <sheetView topLeftCell="H7" workbookViewId="0">
      <selection activeCell="J19" sqref="J19"/>
    </sheetView>
  </sheetViews>
  <sheetFormatPr defaultRowHeight="12.5" x14ac:dyDescent="0.25"/>
  <cols>
    <col min="1" max="1" width="13" bestFit="1" customWidth="1"/>
    <col min="2" max="2" width="15" bestFit="1" customWidth="1"/>
    <col min="5" max="5" width="13" bestFit="1" customWidth="1"/>
    <col min="6" max="6" width="16.36328125" bestFit="1" customWidth="1"/>
    <col min="9" max="9" width="14.6328125" bestFit="1" customWidth="1"/>
    <col min="10" max="10" width="18.26953125" bestFit="1" customWidth="1"/>
    <col min="13" max="13" width="13" bestFit="1" customWidth="1"/>
    <col min="14" max="14" width="15" bestFit="1" customWidth="1"/>
  </cols>
  <sheetData>
    <row r="1" spans="1:14" x14ac:dyDescent="0.25">
      <c r="A1" t="s">
        <v>36</v>
      </c>
      <c r="E1" t="s">
        <v>41</v>
      </c>
      <c r="I1" t="s">
        <v>44</v>
      </c>
    </row>
    <row r="3" spans="1:14" x14ac:dyDescent="0.25">
      <c r="A3" s="4" t="s">
        <v>37</v>
      </c>
      <c r="B3" t="s">
        <v>39</v>
      </c>
    </row>
    <row r="4" spans="1:14" x14ac:dyDescent="0.25">
      <c r="A4" s="5" t="s">
        <v>21</v>
      </c>
      <c r="B4" s="6">
        <v>1176573654</v>
      </c>
      <c r="E4" s="4" t="s">
        <v>37</v>
      </c>
      <c r="F4" t="s">
        <v>42</v>
      </c>
      <c r="I4" s="4" t="s">
        <v>37</v>
      </c>
      <c r="J4" t="s">
        <v>43</v>
      </c>
      <c r="M4" s="4" t="s">
        <v>37</v>
      </c>
      <c r="N4" t="s">
        <v>39</v>
      </c>
    </row>
    <row r="5" spans="1:14" x14ac:dyDescent="0.25">
      <c r="A5" s="5" t="s">
        <v>19</v>
      </c>
      <c r="B5" s="6">
        <v>1341534456</v>
      </c>
      <c r="E5" s="5" t="s">
        <v>20</v>
      </c>
      <c r="F5" s="6">
        <v>5922</v>
      </c>
      <c r="I5" s="5" t="s">
        <v>22</v>
      </c>
      <c r="J5" s="6">
        <v>16090474.235294119</v>
      </c>
      <c r="M5" s="5" t="s">
        <v>45</v>
      </c>
      <c r="N5" s="6">
        <v>272821207</v>
      </c>
    </row>
    <row r="6" spans="1:14" x14ac:dyDescent="0.25">
      <c r="A6" s="5" t="s">
        <v>7</v>
      </c>
      <c r="B6" s="6">
        <v>949592469</v>
      </c>
      <c r="E6" s="5" t="s">
        <v>14</v>
      </c>
      <c r="F6" s="6">
        <v>5093</v>
      </c>
      <c r="I6" s="5" t="s">
        <v>8</v>
      </c>
      <c r="J6" s="6">
        <v>16997148.626126125</v>
      </c>
      <c r="M6" s="5" t="s">
        <v>46</v>
      </c>
      <c r="N6" s="6">
        <v>419431713</v>
      </c>
    </row>
    <row r="7" spans="1:14" x14ac:dyDescent="0.25">
      <c r="A7" s="5" t="s">
        <v>15</v>
      </c>
      <c r="B7" s="6">
        <v>1066828047</v>
      </c>
      <c r="E7" s="5" t="s">
        <v>12</v>
      </c>
      <c r="F7" s="6">
        <v>4801</v>
      </c>
      <c r="I7" s="5" t="s">
        <v>24</v>
      </c>
      <c r="J7" s="6">
        <v>15316325.358208954</v>
      </c>
      <c r="M7" s="5" t="s">
        <v>47</v>
      </c>
      <c r="N7" s="6">
        <v>298354242</v>
      </c>
    </row>
    <row r="8" spans="1:14" x14ac:dyDescent="0.25">
      <c r="A8" s="5" t="s">
        <v>23</v>
      </c>
      <c r="B8" s="6">
        <v>1333884073</v>
      </c>
      <c r="E8" s="5" t="s">
        <v>18</v>
      </c>
      <c r="F8" s="6">
        <v>4549</v>
      </c>
      <c r="I8" s="5" t="s">
        <v>16</v>
      </c>
      <c r="J8" s="6">
        <v>17448569.986111112</v>
      </c>
      <c r="M8" s="5" t="s">
        <v>48</v>
      </c>
      <c r="N8" s="6">
        <v>241668172</v>
      </c>
    </row>
    <row r="9" spans="1:14" x14ac:dyDescent="0.25">
      <c r="A9" s="5" t="s">
        <v>10</v>
      </c>
      <c r="B9" s="6">
        <v>1449772431</v>
      </c>
      <c r="E9" s="5" t="s">
        <v>17</v>
      </c>
      <c r="F9" s="6">
        <v>6498</v>
      </c>
      <c r="I9" s="5" t="s">
        <v>11</v>
      </c>
      <c r="J9" s="6">
        <v>15146256.164835164</v>
      </c>
      <c r="M9" s="5" t="s">
        <v>49</v>
      </c>
      <c r="N9" s="6">
        <v>238555024</v>
      </c>
    </row>
    <row r="10" spans="1:14" x14ac:dyDescent="0.25">
      <c r="A10" s="5" t="s">
        <v>13</v>
      </c>
      <c r="B10" s="6">
        <v>1210134262</v>
      </c>
      <c r="E10" s="5" t="s">
        <v>9</v>
      </c>
      <c r="F10" s="6">
        <v>4019</v>
      </c>
      <c r="I10" s="5" t="s">
        <v>38</v>
      </c>
      <c r="J10" s="6">
        <v>16400614.215384616</v>
      </c>
      <c r="M10" s="5" t="s">
        <v>50</v>
      </c>
      <c r="N10" s="6">
        <v>298219460</v>
      </c>
    </row>
    <row r="11" spans="1:14" x14ac:dyDescent="0.25">
      <c r="A11" s="5" t="s">
        <v>38</v>
      </c>
      <c r="B11" s="6">
        <v>8528319392</v>
      </c>
      <c r="E11" s="5" t="s">
        <v>38</v>
      </c>
      <c r="F11" s="6">
        <v>30882</v>
      </c>
      <c r="M11" s="5" t="s">
        <v>51</v>
      </c>
      <c r="N11" s="6">
        <v>331799464</v>
      </c>
    </row>
    <row r="12" spans="1:14" x14ac:dyDescent="0.25">
      <c r="M12" s="5" t="s">
        <v>52</v>
      </c>
      <c r="N12" s="6">
        <v>314481826</v>
      </c>
    </row>
    <row r="13" spans="1:14" x14ac:dyDescent="0.25">
      <c r="M13" s="5" t="s">
        <v>53</v>
      </c>
      <c r="N13" s="6">
        <v>280529709</v>
      </c>
    </row>
    <row r="14" spans="1:14" x14ac:dyDescent="0.25">
      <c r="M14" s="5" t="s">
        <v>54</v>
      </c>
      <c r="N14" s="6">
        <v>148416539</v>
      </c>
    </row>
    <row r="15" spans="1:14" x14ac:dyDescent="0.25">
      <c r="M15" s="5" t="s">
        <v>55</v>
      </c>
      <c r="N15" s="6">
        <v>183485132</v>
      </c>
    </row>
    <row r="16" spans="1:14" x14ac:dyDescent="0.25">
      <c r="M16" s="5" t="s">
        <v>56</v>
      </c>
      <c r="N16" s="6">
        <v>123250305</v>
      </c>
    </row>
    <row r="17" spans="13:14" x14ac:dyDescent="0.25">
      <c r="M17" s="5" t="s">
        <v>57</v>
      </c>
      <c r="N17" s="6">
        <v>269059308</v>
      </c>
    </row>
    <row r="18" spans="13:14" x14ac:dyDescent="0.25">
      <c r="M18" s="5" t="s">
        <v>58</v>
      </c>
      <c r="N18" s="6">
        <v>133453241</v>
      </c>
    </row>
    <row r="19" spans="13:14" x14ac:dyDescent="0.25">
      <c r="M19" s="5" t="s">
        <v>59</v>
      </c>
      <c r="N19" s="6">
        <v>362873277</v>
      </c>
    </row>
    <row r="20" spans="13:14" x14ac:dyDescent="0.25">
      <c r="M20" s="5" t="s">
        <v>60</v>
      </c>
      <c r="N20" s="6">
        <v>182459034</v>
      </c>
    </row>
    <row r="21" spans="13:14" x14ac:dyDescent="0.25">
      <c r="M21" s="5" t="s">
        <v>61</v>
      </c>
      <c r="N21" s="6">
        <v>352115166</v>
      </c>
    </row>
    <row r="22" spans="13:14" x14ac:dyDescent="0.25">
      <c r="M22" s="5" t="s">
        <v>62</v>
      </c>
      <c r="N22" s="6">
        <v>340161292</v>
      </c>
    </row>
    <row r="23" spans="13:14" x14ac:dyDescent="0.25">
      <c r="M23" s="5" t="s">
        <v>63</v>
      </c>
      <c r="N23" s="6">
        <v>567455442</v>
      </c>
    </row>
    <row r="24" spans="13:14" x14ac:dyDescent="0.25">
      <c r="M24" s="5" t="s">
        <v>64</v>
      </c>
      <c r="N24" s="6">
        <v>159006419</v>
      </c>
    </row>
    <row r="25" spans="13:14" x14ac:dyDescent="0.25">
      <c r="M25" s="5" t="s">
        <v>65</v>
      </c>
      <c r="N25" s="6">
        <v>351368915</v>
      </c>
    </row>
    <row r="26" spans="13:14" x14ac:dyDescent="0.25">
      <c r="M26" s="5" t="s">
        <v>66</v>
      </c>
      <c r="N26" s="6">
        <v>243443188</v>
      </c>
    </row>
    <row r="27" spans="13:14" x14ac:dyDescent="0.25">
      <c r="M27" s="5" t="s">
        <v>67</v>
      </c>
      <c r="N27" s="6">
        <v>290493672</v>
      </c>
    </row>
    <row r="28" spans="13:14" x14ac:dyDescent="0.25">
      <c r="M28" s="5" t="s">
        <v>68</v>
      </c>
      <c r="N28" s="6">
        <v>211654687</v>
      </c>
    </row>
    <row r="29" spans="13:14" x14ac:dyDescent="0.25">
      <c r="M29" s="5" t="s">
        <v>69</v>
      </c>
      <c r="N29" s="6">
        <v>350079323</v>
      </c>
    </row>
    <row r="30" spans="13:14" x14ac:dyDescent="0.25">
      <c r="M30" s="5" t="s">
        <v>70</v>
      </c>
      <c r="N30" s="6">
        <v>361502969</v>
      </c>
    </row>
    <row r="31" spans="13:14" x14ac:dyDescent="0.25">
      <c r="M31" s="5" t="s">
        <v>71</v>
      </c>
      <c r="N31" s="6">
        <v>280830175</v>
      </c>
    </row>
    <row r="32" spans="13:14" x14ac:dyDescent="0.25">
      <c r="M32" s="5" t="s">
        <v>72</v>
      </c>
      <c r="N32" s="6">
        <v>215879635</v>
      </c>
    </row>
    <row r="33" spans="13:14" x14ac:dyDescent="0.25">
      <c r="M33" s="5" t="s">
        <v>73</v>
      </c>
      <c r="N33" s="6">
        <v>137777681</v>
      </c>
    </row>
    <row r="34" spans="13:14" x14ac:dyDescent="0.25">
      <c r="M34" s="5" t="s">
        <v>74</v>
      </c>
      <c r="N34" s="6">
        <v>391291066</v>
      </c>
    </row>
    <row r="35" spans="13:14" x14ac:dyDescent="0.25">
      <c r="M35" s="5" t="s">
        <v>75</v>
      </c>
      <c r="N35" s="6">
        <v>169021645</v>
      </c>
    </row>
    <row r="36" spans="13:14" x14ac:dyDescent="0.25">
      <c r="M36" s="5" t="s">
        <v>38</v>
      </c>
      <c r="N36" s="6">
        <v>8520938928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60"/>
  <sheetViews>
    <sheetView tabSelected="1" topLeftCell="M1" workbookViewId="0">
      <selection activeCell="N4" sqref="N4"/>
    </sheetView>
  </sheetViews>
  <sheetFormatPr defaultColWidth="12.6328125" defaultRowHeight="15.75" customHeight="1" x14ac:dyDescent="0.25"/>
  <cols>
    <col min="1" max="1" width="24.90625" customWidth="1"/>
    <col min="8" max="8" width="29.453125" customWidth="1"/>
    <col min="9" max="9" width="17.7265625" customWidth="1"/>
    <col min="10" max="10" width="70.54296875" customWidth="1"/>
    <col min="11" max="11" width="17.6328125" customWidth="1"/>
    <col min="12" max="12" width="50.6328125" customWidth="1"/>
    <col min="13" max="13" width="76" customWidth="1"/>
    <col min="14" max="14" width="25.08984375" customWidth="1"/>
    <col min="15" max="15" width="25.1796875" customWidth="1"/>
    <col min="16" max="16" width="37.8164062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27</v>
      </c>
      <c r="J1" s="1" t="s">
        <v>26</v>
      </c>
      <c r="K1" s="1" t="s">
        <v>28</v>
      </c>
      <c r="L1" s="1" t="s">
        <v>29</v>
      </c>
      <c r="M1" s="1" t="s">
        <v>32</v>
      </c>
      <c r="N1" s="1" t="s">
        <v>33</v>
      </c>
      <c r="O1" s="1" t="s">
        <v>35</v>
      </c>
      <c r="P1" s="1"/>
    </row>
    <row r="2" spans="1:16" ht="15.75" customHeight="1" x14ac:dyDescent="0.25">
      <c r="A2" s="2" cm="1">
        <f t="array" aca="1" ref="A2" ca="1">A2:G6615/1/2025</f>
        <v>0</v>
      </c>
      <c r="B2" s="1" t="s">
        <v>21</v>
      </c>
      <c r="C2" s="1" t="s">
        <v>8</v>
      </c>
      <c r="D2" s="1" t="s">
        <v>9</v>
      </c>
      <c r="E2" s="1">
        <v>52</v>
      </c>
      <c r="F2" s="1">
        <v>141932</v>
      </c>
      <c r="G2" s="1">
        <v>7380464</v>
      </c>
      <c r="H2">
        <f ca="1">COUNTA(A2:A521)</f>
        <v>520</v>
      </c>
      <c r="I2">
        <f>COUNTBLANK(C2:G521)</f>
        <v>0</v>
      </c>
      <c r="J2" t="s">
        <v>76</v>
      </c>
      <c r="K2">
        <v>0</v>
      </c>
      <c r="L2" t="s">
        <v>30</v>
      </c>
      <c r="M2">
        <f>AVERAGE(E2:E521)</f>
        <v>59.388461538461542</v>
      </c>
      <c r="N2">
        <f>AVERAGE(G2:G521)</f>
        <v>16400614.215384616</v>
      </c>
      <c r="O2">
        <f>MAX(E2:E521)-MIN(E2:E521)</f>
        <v>118</v>
      </c>
    </row>
    <row r="3" spans="1:16" ht="15.75" customHeight="1" x14ac:dyDescent="0.25">
      <c r="A3" s="2">
        <v>45658</v>
      </c>
      <c r="B3" s="1" t="s">
        <v>21</v>
      </c>
      <c r="C3" s="1" t="s">
        <v>11</v>
      </c>
      <c r="D3" s="1" t="s">
        <v>9</v>
      </c>
      <c r="E3" s="1">
        <v>21</v>
      </c>
      <c r="F3" s="1">
        <v>64886</v>
      </c>
      <c r="G3" s="1">
        <v>1362606</v>
      </c>
      <c r="H3">
        <f>COLUMNS(A3:G3)</f>
        <v>7</v>
      </c>
      <c r="L3" t="s">
        <v>40</v>
      </c>
      <c r="M3">
        <f>MEDIAN(E521)</f>
        <v>95</v>
      </c>
      <c r="N3">
        <f>MEDIAN(G2:G521)</f>
        <v>11671366</v>
      </c>
    </row>
    <row r="4" spans="1:16" ht="15.75" customHeight="1" x14ac:dyDescent="0.25">
      <c r="A4" s="2">
        <v>45658</v>
      </c>
      <c r="B4" s="1" t="s">
        <v>21</v>
      </c>
      <c r="C4" s="1" t="s">
        <v>8</v>
      </c>
      <c r="D4" s="1" t="s">
        <v>12</v>
      </c>
      <c r="E4" s="1">
        <v>75</v>
      </c>
      <c r="F4" s="1">
        <v>97498</v>
      </c>
      <c r="G4" s="1">
        <v>7312350</v>
      </c>
      <c r="L4" t="s">
        <v>31</v>
      </c>
      <c r="M4" cm="1">
        <f t="array" ref="M4">_xlfn.MODE.MULT(E2:E521)</f>
        <v>8</v>
      </c>
      <c r="N4" t="e" cm="1">
        <f t="array" ref="N4">_xlfn.MODE.MULT(G2:G521)</f>
        <v>#N/A</v>
      </c>
    </row>
    <row r="5" spans="1:16" ht="15.75" customHeight="1" x14ac:dyDescent="0.25">
      <c r="A5" s="2">
        <v>45658</v>
      </c>
      <c r="B5" s="1" t="s">
        <v>21</v>
      </c>
      <c r="C5" s="1" t="s">
        <v>8</v>
      </c>
      <c r="D5" s="1" t="s">
        <v>14</v>
      </c>
      <c r="E5" s="1">
        <v>104</v>
      </c>
      <c r="F5" s="1">
        <v>288167</v>
      </c>
      <c r="G5" s="1">
        <v>29969368</v>
      </c>
      <c r="M5">
        <f>MAX(E2:E521)</f>
        <v>119</v>
      </c>
      <c r="N5">
        <f>MAX(G2:G521)</f>
        <v>60334716</v>
      </c>
    </row>
    <row r="6" spans="1:16" ht="15.75" customHeight="1" x14ac:dyDescent="0.25">
      <c r="A6" s="2">
        <v>45658</v>
      </c>
      <c r="B6" s="1" t="s">
        <v>21</v>
      </c>
      <c r="C6" s="1" t="s">
        <v>11</v>
      </c>
      <c r="D6" s="1" t="s">
        <v>14</v>
      </c>
      <c r="E6" s="1">
        <v>2</v>
      </c>
      <c r="F6" s="1">
        <v>331879</v>
      </c>
      <c r="G6" s="1">
        <v>663758</v>
      </c>
      <c r="M6">
        <f>MIN(E2:E521)</f>
        <v>1</v>
      </c>
      <c r="N6">
        <f>MIN(G2:G521)</f>
        <v>93414</v>
      </c>
    </row>
    <row r="7" spans="1:16" ht="15.75" customHeight="1" x14ac:dyDescent="0.25">
      <c r="A7" s="2">
        <v>45658</v>
      </c>
      <c r="B7" s="1" t="s">
        <v>21</v>
      </c>
      <c r="C7" s="1" t="s">
        <v>16</v>
      </c>
      <c r="D7" s="1" t="s">
        <v>17</v>
      </c>
      <c r="E7" s="1">
        <v>2</v>
      </c>
      <c r="F7" s="1">
        <v>113355</v>
      </c>
      <c r="G7" s="1">
        <v>226710</v>
      </c>
      <c r="M7">
        <f>_xlfn.VAR.P(E2:E521)</f>
        <v>1257.8875591715976</v>
      </c>
      <c r="N7">
        <f>_xlfn.VAR.P(G2:G521)</f>
        <v>215352808717394.25</v>
      </c>
    </row>
    <row r="8" spans="1:16" ht="15.75" customHeight="1" x14ac:dyDescent="0.25">
      <c r="A8" s="2">
        <v>45658</v>
      </c>
      <c r="B8" s="1" t="s">
        <v>21</v>
      </c>
      <c r="C8" s="1" t="s">
        <v>8</v>
      </c>
      <c r="D8" s="1" t="s">
        <v>18</v>
      </c>
      <c r="E8" s="1">
        <v>58</v>
      </c>
      <c r="F8" s="1">
        <v>431909</v>
      </c>
      <c r="G8" s="1">
        <v>25050722</v>
      </c>
      <c r="M8">
        <f>_xlfn.STDEV.P(E2:E521)</f>
        <v>35.466710577266646</v>
      </c>
      <c r="N8">
        <f>_xlfn.STDEV.P(G2:G521)</f>
        <v>14674904.044571953</v>
      </c>
    </row>
    <row r="9" spans="1:16" ht="15.75" customHeight="1" x14ac:dyDescent="0.25">
      <c r="A9" s="2">
        <v>45658</v>
      </c>
      <c r="B9" s="1" t="s">
        <v>21</v>
      </c>
      <c r="C9" s="1" t="s">
        <v>8</v>
      </c>
      <c r="D9" s="1" t="s">
        <v>20</v>
      </c>
      <c r="E9" s="1">
        <v>49</v>
      </c>
      <c r="F9" s="1">
        <v>510186</v>
      </c>
      <c r="G9" s="1">
        <v>24999114</v>
      </c>
      <c r="M9" s="3" t="s">
        <v>34</v>
      </c>
    </row>
    <row r="10" spans="1:16" ht="15.75" customHeight="1" x14ac:dyDescent="0.25">
      <c r="A10" s="2">
        <v>45658</v>
      </c>
      <c r="B10" s="1" t="s">
        <v>21</v>
      </c>
      <c r="C10" s="1" t="s">
        <v>8</v>
      </c>
      <c r="D10" s="1" t="s">
        <v>14</v>
      </c>
      <c r="E10" s="1">
        <v>60</v>
      </c>
      <c r="F10" s="1">
        <v>462366</v>
      </c>
      <c r="G10" s="1">
        <v>27741960</v>
      </c>
    </row>
    <row r="11" spans="1:16" ht="15.75" customHeight="1" x14ac:dyDescent="0.25">
      <c r="A11" s="2">
        <v>45658</v>
      </c>
      <c r="B11" s="1" t="s">
        <v>21</v>
      </c>
      <c r="C11" s="1" t="s">
        <v>8</v>
      </c>
      <c r="D11" s="1" t="s">
        <v>17</v>
      </c>
      <c r="E11" s="1">
        <v>62</v>
      </c>
      <c r="F11" s="1">
        <v>329030</v>
      </c>
      <c r="G11" s="1">
        <v>20399860</v>
      </c>
    </row>
    <row r="12" spans="1:16" ht="15.75" customHeight="1" x14ac:dyDescent="0.25">
      <c r="A12" s="2">
        <v>45658</v>
      </c>
      <c r="B12" s="1" t="s">
        <v>21</v>
      </c>
      <c r="C12" s="1" t="s">
        <v>22</v>
      </c>
      <c r="D12" s="1" t="s">
        <v>12</v>
      </c>
      <c r="E12" s="1">
        <v>101</v>
      </c>
      <c r="F12" s="1">
        <v>538178</v>
      </c>
      <c r="G12" s="1">
        <v>54355978</v>
      </c>
    </row>
    <row r="13" spans="1:16" ht="15.75" customHeight="1" x14ac:dyDescent="0.25">
      <c r="A13" s="2">
        <v>45658</v>
      </c>
      <c r="B13" s="1" t="s">
        <v>21</v>
      </c>
      <c r="C13" s="1" t="s">
        <v>8</v>
      </c>
      <c r="D13" s="1" t="s">
        <v>17</v>
      </c>
      <c r="E13" s="1">
        <v>39</v>
      </c>
      <c r="F13" s="1">
        <v>359457</v>
      </c>
      <c r="G13" s="1">
        <v>14018823</v>
      </c>
    </row>
    <row r="14" spans="1:16" ht="15.75" customHeight="1" x14ac:dyDescent="0.25">
      <c r="A14" s="2">
        <v>45658</v>
      </c>
      <c r="B14" s="1" t="s">
        <v>21</v>
      </c>
      <c r="C14" s="1" t="s">
        <v>8</v>
      </c>
      <c r="D14" s="1" t="s">
        <v>17</v>
      </c>
      <c r="E14" s="1">
        <v>14</v>
      </c>
      <c r="F14" s="1">
        <v>215041</v>
      </c>
      <c r="G14" s="1">
        <v>3010574</v>
      </c>
    </row>
    <row r="15" spans="1:16" ht="15.75" customHeight="1" x14ac:dyDescent="0.25">
      <c r="A15" s="2">
        <v>45658</v>
      </c>
      <c r="B15" s="1" t="s">
        <v>21</v>
      </c>
      <c r="C15" s="1" t="s">
        <v>24</v>
      </c>
      <c r="D15" s="1" t="s">
        <v>18</v>
      </c>
      <c r="E15" s="1">
        <v>53</v>
      </c>
      <c r="F15" s="1">
        <v>261995</v>
      </c>
      <c r="G15" s="1">
        <v>13885735</v>
      </c>
    </row>
    <row r="16" spans="1:16" ht="15.75" customHeight="1" x14ac:dyDescent="0.25">
      <c r="A16" s="2">
        <v>45658</v>
      </c>
      <c r="B16" s="1" t="s">
        <v>21</v>
      </c>
      <c r="C16" s="1" t="s">
        <v>8</v>
      </c>
      <c r="D16" s="1" t="s">
        <v>9</v>
      </c>
      <c r="E16" s="1">
        <v>44</v>
      </c>
      <c r="F16" s="1">
        <v>266508</v>
      </c>
      <c r="G16" s="1">
        <v>11726352</v>
      </c>
    </row>
    <row r="17" spans="1:7" ht="15.75" customHeight="1" x14ac:dyDescent="0.25">
      <c r="A17" s="2">
        <v>45658</v>
      </c>
      <c r="B17" s="1" t="s">
        <v>21</v>
      </c>
      <c r="C17" s="1" t="s">
        <v>16</v>
      </c>
      <c r="D17" s="1" t="s">
        <v>18</v>
      </c>
      <c r="E17" s="1">
        <v>81</v>
      </c>
      <c r="F17" s="1">
        <v>470337</v>
      </c>
      <c r="G17" s="1">
        <v>38097297</v>
      </c>
    </row>
    <row r="18" spans="1:7" ht="12.5" x14ac:dyDescent="0.25">
      <c r="A18" s="2">
        <v>45659</v>
      </c>
      <c r="B18" s="1" t="s">
        <v>21</v>
      </c>
      <c r="C18" s="1" t="s">
        <v>24</v>
      </c>
      <c r="D18" s="1" t="s">
        <v>14</v>
      </c>
      <c r="E18" s="1">
        <v>6</v>
      </c>
      <c r="F18" s="1">
        <v>351097</v>
      </c>
      <c r="G18" s="1">
        <v>2106582</v>
      </c>
    </row>
    <row r="19" spans="1:7" ht="12.5" x14ac:dyDescent="0.25">
      <c r="A19" s="2">
        <v>45659</v>
      </c>
      <c r="B19" s="1" t="s">
        <v>21</v>
      </c>
      <c r="C19" s="1" t="s">
        <v>11</v>
      </c>
      <c r="D19" s="1" t="s">
        <v>20</v>
      </c>
      <c r="E19" s="1">
        <v>63</v>
      </c>
      <c r="F19" s="1">
        <v>212283</v>
      </c>
      <c r="G19" s="1">
        <v>13373829</v>
      </c>
    </row>
    <row r="20" spans="1:7" ht="12.5" x14ac:dyDescent="0.25">
      <c r="A20" s="2">
        <v>45659</v>
      </c>
      <c r="B20" s="1" t="s">
        <v>21</v>
      </c>
      <c r="C20" s="1" t="s">
        <v>16</v>
      </c>
      <c r="D20" s="1" t="s">
        <v>14</v>
      </c>
      <c r="E20" s="1">
        <v>100</v>
      </c>
      <c r="F20" s="1">
        <v>545822</v>
      </c>
      <c r="G20" s="1">
        <v>54582200</v>
      </c>
    </row>
    <row r="21" spans="1:7" ht="12.5" x14ac:dyDescent="0.25">
      <c r="A21" s="2">
        <v>45659</v>
      </c>
      <c r="B21" s="1" t="s">
        <v>21</v>
      </c>
      <c r="C21" s="1" t="s">
        <v>8</v>
      </c>
      <c r="D21" s="1" t="s">
        <v>12</v>
      </c>
      <c r="E21" s="1">
        <v>62</v>
      </c>
      <c r="F21" s="1">
        <v>230884</v>
      </c>
      <c r="G21" s="1">
        <v>14314808</v>
      </c>
    </row>
    <row r="22" spans="1:7" ht="12.5" x14ac:dyDescent="0.25">
      <c r="A22" s="2">
        <v>45659</v>
      </c>
      <c r="B22" s="1" t="s">
        <v>21</v>
      </c>
      <c r="C22" s="1" t="s">
        <v>24</v>
      </c>
      <c r="D22" s="1" t="s">
        <v>20</v>
      </c>
      <c r="E22" s="1">
        <v>111</v>
      </c>
      <c r="F22" s="1">
        <v>543556</v>
      </c>
      <c r="G22" s="1">
        <v>60334716</v>
      </c>
    </row>
    <row r="23" spans="1:7" ht="12.5" x14ac:dyDescent="0.25">
      <c r="A23" s="2">
        <v>45659</v>
      </c>
      <c r="B23" s="1" t="s">
        <v>21</v>
      </c>
      <c r="C23" s="1" t="s">
        <v>8</v>
      </c>
      <c r="D23" s="1" t="s">
        <v>12</v>
      </c>
      <c r="E23" s="1">
        <v>60</v>
      </c>
      <c r="F23" s="1">
        <v>526588</v>
      </c>
      <c r="G23" s="1">
        <v>31595280</v>
      </c>
    </row>
    <row r="24" spans="1:7" ht="12.5" x14ac:dyDescent="0.25">
      <c r="A24" s="2">
        <v>45659</v>
      </c>
      <c r="B24" s="1" t="s">
        <v>21</v>
      </c>
      <c r="C24" s="1" t="s">
        <v>8</v>
      </c>
      <c r="D24" s="1" t="s">
        <v>17</v>
      </c>
      <c r="E24" s="1">
        <v>45</v>
      </c>
      <c r="F24" s="1">
        <v>386896</v>
      </c>
      <c r="G24" s="1">
        <v>17410320</v>
      </c>
    </row>
    <row r="25" spans="1:7" ht="12.5" x14ac:dyDescent="0.25">
      <c r="A25" s="2">
        <v>45659</v>
      </c>
      <c r="B25" s="1" t="s">
        <v>21</v>
      </c>
      <c r="C25" s="1" t="s">
        <v>8</v>
      </c>
      <c r="D25" s="1" t="s">
        <v>9</v>
      </c>
      <c r="E25" s="1">
        <v>108</v>
      </c>
      <c r="F25" s="1">
        <v>143767</v>
      </c>
      <c r="G25" s="1">
        <v>15526836</v>
      </c>
    </row>
    <row r="26" spans="1:7" ht="12.5" x14ac:dyDescent="0.25">
      <c r="A26" s="2">
        <v>45659</v>
      </c>
      <c r="B26" s="1" t="s">
        <v>21</v>
      </c>
      <c r="C26" s="1" t="s">
        <v>22</v>
      </c>
      <c r="D26" s="1" t="s">
        <v>17</v>
      </c>
      <c r="E26" s="1">
        <v>81</v>
      </c>
      <c r="F26" s="1">
        <v>23986</v>
      </c>
      <c r="G26" s="1">
        <v>1942866</v>
      </c>
    </row>
    <row r="27" spans="1:7" ht="12.5" x14ac:dyDescent="0.25">
      <c r="A27" s="2">
        <v>45659</v>
      </c>
      <c r="B27" s="1" t="s">
        <v>21</v>
      </c>
      <c r="C27" s="1" t="s">
        <v>22</v>
      </c>
      <c r="D27" s="1" t="s">
        <v>20</v>
      </c>
      <c r="E27" s="1">
        <v>5</v>
      </c>
      <c r="F27" s="1">
        <v>144633</v>
      </c>
      <c r="G27" s="1">
        <v>723165</v>
      </c>
    </row>
    <row r="28" spans="1:7" ht="12.5" x14ac:dyDescent="0.25">
      <c r="A28" s="2">
        <v>45659</v>
      </c>
      <c r="B28" s="1" t="s">
        <v>21</v>
      </c>
      <c r="C28" s="1" t="s">
        <v>8</v>
      </c>
      <c r="D28" s="1" t="s">
        <v>18</v>
      </c>
      <c r="E28" s="1">
        <v>28</v>
      </c>
      <c r="F28" s="1">
        <v>294806</v>
      </c>
      <c r="G28" s="1">
        <v>8254568</v>
      </c>
    </row>
    <row r="29" spans="1:7" ht="12.5" x14ac:dyDescent="0.25">
      <c r="A29" s="2">
        <v>45659</v>
      </c>
      <c r="B29" s="1" t="s">
        <v>21</v>
      </c>
      <c r="C29" s="1" t="s">
        <v>24</v>
      </c>
      <c r="D29" s="1" t="s">
        <v>14</v>
      </c>
      <c r="E29" s="1">
        <v>33</v>
      </c>
      <c r="F29" s="1">
        <v>361279</v>
      </c>
      <c r="G29" s="1">
        <v>11922207</v>
      </c>
    </row>
    <row r="30" spans="1:7" ht="12.5" x14ac:dyDescent="0.25">
      <c r="A30" s="2">
        <v>45659</v>
      </c>
      <c r="B30" s="1" t="s">
        <v>21</v>
      </c>
      <c r="C30" s="1" t="s">
        <v>11</v>
      </c>
      <c r="D30" s="1" t="s">
        <v>9</v>
      </c>
      <c r="E30" s="1">
        <v>99</v>
      </c>
      <c r="F30" s="1">
        <v>466551</v>
      </c>
      <c r="G30" s="1">
        <v>46188549</v>
      </c>
    </row>
    <row r="31" spans="1:7" ht="12.5" x14ac:dyDescent="0.25">
      <c r="A31" s="2">
        <v>45659</v>
      </c>
      <c r="B31" s="1" t="s">
        <v>21</v>
      </c>
      <c r="C31" s="1" t="s">
        <v>22</v>
      </c>
      <c r="D31" s="1" t="s">
        <v>14</v>
      </c>
      <c r="E31" s="1">
        <v>65</v>
      </c>
      <c r="F31" s="1">
        <v>501234</v>
      </c>
      <c r="G31" s="1">
        <v>32580210</v>
      </c>
    </row>
    <row r="32" spans="1:7" ht="12.5" x14ac:dyDescent="0.25">
      <c r="A32" s="2">
        <v>45659</v>
      </c>
      <c r="B32" s="1" t="s">
        <v>21</v>
      </c>
      <c r="C32" s="1" t="s">
        <v>22</v>
      </c>
      <c r="D32" s="1" t="s">
        <v>14</v>
      </c>
      <c r="E32" s="1">
        <v>1</v>
      </c>
      <c r="F32" s="1">
        <v>224020</v>
      </c>
      <c r="G32" s="1">
        <v>224020</v>
      </c>
    </row>
    <row r="33" spans="1:7" ht="12.5" x14ac:dyDescent="0.25">
      <c r="A33" s="2">
        <v>45659</v>
      </c>
      <c r="B33" s="1" t="s">
        <v>21</v>
      </c>
      <c r="C33" s="1" t="s">
        <v>8</v>
      </c>
      <c r="D33" s="1" t="s">
        <v>20</v>
      </c>
      <c r="E33" s="1">
        <v>27</v>
      </c>
      <c r="F33" s="1">
        <v>129176</v>
      </c>
      <c r="G33" s="1">
        <v>3487752</v>
      </c>
    </row>
    <row r="34" spans="1:7" ht="12.5" x14ac:dyDescent="0.25">
      <c r="A34" s="2">
        <v>45659</v>
      </c>
      <c r="B34" s="1" t="s">
        <v>21</v>
      </c>
      <c r="C34" s="1" t="s">
        <v>24</v>
      </c>
      <c r="D34" s="1" t="s">
        <v>17</v>
      </c>
      <c r="E34" s="1">
        <v>77</v>
      </c>
      <c r="F34" s="1">
        <v>263618</v>
      </c>
      <c r="G34" s="1">
        <v>20298586</v>
      </c>
    </row>
    <row r="35" spans="1:7" ht="12.5" x14ac:dyDescent="0.25">
      <c r="A35" s="2">
        <v>45659</v>
      </c>
      <c r="B35" s="1" t="s">
        <v>21</v>
      </c>
      <c r="C35" s="1" t="s">
        <v>8</v>
      </c>
      <c r="D35" s="1" t="s">
        <v>12</v>
      </c>
      <c r="E35" s="1">
        <v>96</v>
      </c>
      <c r="F35" s="1">
        <v>421357</v>
      </c>
      <c r="G35" s="1">
        <v>40450272</v>
      </c>
    </row>
    <row r="36" spans="1:7" ht="12.5" x14ac:dyDescent="0.25">
      <c r="A36" s="2">
        <v>45659</v>
      </c>
      <c r="B36" s="1" t="s">
        <v>21</v>
      </c>
      <c r="C36" s="1" t="s">
        <v>8</v>
      </c>
      <c r="D36" s="1" t="s">
        <v>9</v>
      </c>
      <c r="E36" s="1">
        <v>43</v>
      </c>
      <c r="F36" s="1">
        <v>174899</v>
      </c>
      <c r="G36" s="1">
        <v>7520657</v>
      </c>
    </row>
    <row r="37" spans="1:7" ht="12.5" x14ac:dyDescent="0.25">
      <c r="A37" s="2">
        <v>45659</v>
      </c>
      <c r="B37" s="1" t="s">
        <v>21</v>
      </c>
      <c r="C37" s="1" t="s">
        <v>22</v>
      </c>
      <c r="D37" s="1" t="s">
        <v>20</v>
      </c>
      <c r="E37" s="1">
        <v>86</v>
      </c>
      <c r="F37" s="1">
        <v>425515</v>
      </c>
      <c r="G37" s="1">
        <v>36594290</v>
      </c>
    </row>
    <row r="38" spans="1:7" ht="12.5" x14ac:dyDescent="0.25">
      <c r="A38" s="2">
        <v>45660</v>
      </c>
      <c r="B38" s="1" t="s">
        <v>21</v>
      </c>
      <c r="C38" s="1" t="s">
        <v>11</v>
      </c>
      <c r="D38" s="1" t="s">
        <v>14</v>
      </c>
      <c r="E38" s="1">
        <v>62</v>
      </c>
      <c r="F38" s="1">
        <v>452296</v>
      </c>
      <c r="G38" s="1">
        <v>28042352</v>
      </c>
    </row>
    <row r="39" spans="1:7" ht="12.5" x14ac:dyDescent="0.25">
      <c r="A39" s="2">
        <v>45660</v>
      </c>
      <c r="B39" s="1" t="s">
        <v>21</v>
      </c>
      <c r="C39" s="1" t="s">
        <v>8</v>
      </c>
      <c r="D39" s="1" t="s">
        <v>14</v>
      </c>
      <c r="E39" s="1">
        <v>28</v>
      </c>
      <c r="F39" s="1">
        <v>210235</v>
      </c>
      <c r="G39" s="1">
        <v>5886580</v>
      </c>
    </row>
    <row r="40" spans="1:7" ht="12.5" x14ac:dyDescent="0.25">
      <c r="A40" s="2">
        <v>45660</v>
      </c>
      <c r="B40" s="1" t="s">
        <v>21</v>
      </c>
      <c r="C40" s="1" t="s">
        <v>16</v>
      </c>
      <c r="D40" s="1" t="s">
        <v>18</v>
      </c>
      <c r="E40" s="1">
        <v>75</v>
      </c>
      <c r="F40" s="1">
        <v>298249</v>
      </c>
      <c r="G40" s="1">
        <v>22368675</v>
      </c>
    </row>
    <row r="41" spans="1:7" ht="12.5" x14ac:dyDescent="0.25">
      <c r="A41" s="2">
        <v>45660</v>
      </c>
      <c r="B41" s="1" t="s">
        <v>21</v>
      </c>
      <c r="C41" s="1" t="s">
        <v>8</v>
      </c>
      <c r="D41" s="1" t="s">
        <v>17</v>
      </c>
      <c r="E41" s="1">
        <v>103</v>
      </c>
      <c r="F41" s="1">
        <v>397261</v>
      </c>
      <c r="G41" s="1">
        <v>40917883</v>
      </c>
    </row>
    <row r="42" spans="1:7" ht="12.5" x14ac:dyDescent="0.25">
      <c r="A42" s="2">
        <v>45660</v>
      </c>
      <c r="B42" s="1" t="s">
        <v>21</v>
      </c>
      <c r="C42" s="1" t="s">
        <v>8</v>
      </c>
      <c r="D42" s="1" t="s">
        <v>18</v>
      </c>
      <c r="E42" s="1">
        <v>27</v>
      </c>
      <c r="F42" s="1">
        <v>464589</v>
      </c>
      <c r="G42" s="1">
        <v>12543903</v>
      </c>
    </row>
    <row r="43" spans="1:7" ht="12.5" x14ac:dyDescent="0.25">
      <c r="A43" s="2">
        <v>45660</v>
      </c>
      <c r="B43" s="1" t="s">
        <v>21</v>
      </c>
      <c r="C43" s="1" t="s">
        <v>11</v>
      </c>
      <c r="D43" s="1" t="s">
        <v>14</v>
      </c>
      <c r="E43" s="1">
        <v>105</v>
      </c>
      <c r="F43" s="1">
        <v>412690</v>
      </c>
      <c r="G43" s="1">
        <v>43332450</v>
      </c>
    </row>
    <row r="44" spans="1:7" ht="12.5" x14ac:dyDescent="0.25">
      <c r="A44" s="2">
        <v>45660</v>
      </c>
      <c r="B44" s="1" t="s">
        <v>21</v>
      </c>
      <c r="C44" s="1" t="s">
        <v>22</v>
      </c>
      <c r="D44" s="1" t="s">
        <v>20</v>
      </c>
      <c r="E44" s="1">
        <v>9</v>
      </c>
      <c r="F44" s="1">
        <v>238576</v>
      </c>
      <c r="G44" s="1">
        <v>2147184</v>
      </c>
    </row>
    <row r="45" spans="1:7" ht="12.5" x14ac:dyDescent="0.25">
      <c r="A45" s="2">
        <v>45660</v>
      </c>
      <c r="B45" s="1" t="s">
        <v>21</v>
      </c>
      <c r="C45" s="1" t="s">
        <v>8</v>
      </c>
      <c r="D45" s="1" t="s">
        <v>14</v>
      </c>
      <c r="E45" s="1">
        <v>24</v>
      </c>
      <c r="F45" s="1">
        <v>175838</v>
      </c>
      <c r="G45" s="1">
        <v>4220112</v>
      </c>
    </row>
    <row r="46" spans="1:7" ht="12.5" x14ac:dyDescent="0.25">
      <c r="A46" s="2">
        <v>45660</v>
      </c>
      <c r="B46" s="1" t="s">
        <v>21</v>
      </c>
      <c r="C46" s="1" t="s">
        <v>8</v>
      </c>
      <c r="D46" s="1" t="s">
        <v>17</v>
      </c>
      <c r="E46" s="1">
        <v>52</v>
      </c>
      <c r="F46" s="1">
        <v>457600</v>
      </c>
      <c r="G46" s="1">
        <v>23795200</v>
      </c>
    </row>
    <row r="47" spans="1:7" ht="12.5" x14ac:dyDescent="0.25">
      <c r="A47" s="2">
        <v>45660</v>
      </c>
      <c r="B47" s="1" t="s">
        <v>21</v>
      </c>
      <c r="C47" s="1" t="s">
        <v>24</v>
      </c>
      <c r="D47" s="1" t="s">
        <v>20</v>
      </c>
      <c r="E47" s="1">
        <v>52</v>
      </c>
      <c r="F47" s="1">
        <v>224283</v>
      </c>
      <c r="G47" s="1">
        <v>11662716</v>
      </c>
    </row>
    <row r="48" spans="1:7" ht="12.5" x14ac:dyDescent="0.25">
      <c r="A48" s="2">
        <v>45660</v>
      </c>
      <c r="B48" s="1" t="s">
        <v>21</v>
      </c>
      <c r="C48" s="1" t="s">
        <v>22</v>
      </c>
      <c r="D48" s="1" t="s">
        <v>17</v>
      </c>
      <c r="E48" s="1">
        <v>113</v>
      </c>
      <c r="F48" s="1">
        <v>103264</v>
      </c>
      <c r="G48" s="1">
        <v>11668832</v>
      </c>
    </row>
    <row r="49" spans="1:7" ht="12.5" x14ac:dyDescent="0.25">
      <c r="A49" s="2">
        <v>45660</v>
      </c>
      <c r="B49" s="1" t="s">
        <v>21</v>
      </c>
      <c r="C49" s="1" t="s">
        <v>24</v>
      </c>
      <c r="D49" s="1" t="s">
        <v>17</v>
      </c>
      <c r="E49" s="1">
        <v>2</v>
      </c>
      <c r="F49" s="1">
        <v>404070</v>
      </c>
      <c r="G49" s="1">
        <v>808140</v>
      </c>
    </row>
    <row r="50" spans="1:7" ht="12.5" x14ac:dyDescent="0.25">
      <c r="A50" s="2">
        <v>45660</v>
      </c>
      <c r="B50" s="1" t="s">
        <v>21</v>
      </c>
      <c r="C50" s="1" t="s">
        <v>8</v>
      </c>
      <c r="D50" s="1" t="s">
        <v>12</v>
      </c>
      <c r="E50" s="1">
        <v>19</v>
      </c>
      <c r="F50" s="1">
        <v>187789</v>
      </c>
      <c r="G50" s="1">
        <v>3567991</v>
      </c>
    </row>
    <row r="51" spans="1:7" ht="12.5" x14ac:dyDescent="0.25">
      <c r="A51" s="2">
        <v>45660</v>
      </c>
      <c r="B51" s="1" t="s">
        <v>21</v>
      </c>
      <c r="C51" s="1" t="s">
        <v>8</v>
      </c>
      <c r="D51" s="1" t="s">
        <v>18</v>
      </c>
      <c r="E51" s="1">
        <v>90</v>
      </c>
      <c r="F51" s="1">
        <v>245167</v>
      </c>
      <c r="G51" s="1">
        <v>22065030</v>
      </c>
    </row>
    <row r="52" spans="1:7" ht="12.5" x14ac:dyDescent="0.25">
      <c r="A52" s="2">
        <v>45660</v>
      </c>
      <c r="B52" s="1" t="s">
        <v>21</v>
      </c>
      <c r="C52" s="1" t="s">
        <v>8</v>
      </c>
      <c r="D52" s="1" t="s">
        <v>17</v>
      </c>
      <c r="E52" s="1">
        <v>75</v>
      </c>
      <c r="F52" s="1">
        <v>119751</v>
      </c>
      <c r="G52" s="1">
        <v>8981325</v>
      </c>
    </row>
    <row r="53" spans="1:7" ht="12.5" x14ac:dyDescent="0.25">
      <c r="A53" s="2">
        <v>45660</v>
      </c>
      <c r="B53" s="1" t="s">
        <v>21</v>
      </c>
      <c r="C53" s="1" t="s">
        <v>8</v>
      </c>
      <c r="D53" s="1" t="s">
        <v>18</v>
      </c>
      <c r="E53" s="1">
        <v>38</v>
      </c>
      <c r="F53" s="1">
        <v>471079</v>
      </c>
      <c r="G53" s="1">
        <v>17901002</v>
      </c>
    </row>
    <row r="54" spans="1:7" ht="12.5" x14ac:dyDescent="0.25">
      <c r="A54" s="2">
        <v>45660</v>
      </c>
      <c r="B54" s="1" t="s">
        <v>21</v>
      </c>
      <c r="C54" s="1" t="s">
        <v>24</v>
      </c>
      <c r="D54" s="1" t="s">
        <v>17</v>
      </c>
      <c r="E54" s="1">
        <v>70</v>
      </c>
      <c r="F54" s="1">
        <v>120078</v>
      </c>
      <c r="G54" s="1">
        <v>8405460</v>
      </c>
    </row>
    <row r="55" spans="1:7" ht="12.5" x14ac:dyDescent="0.25">
      <c r="A55" s="2">
        <v>45660</v>
      </c>
      <c r="B55" s="1" t="s">
        <v>21</v>
      </c>
      <c r="C55" s="1" t="s">
        <v>8</v>
      </c>
      <c r="D55" s="1" t="s">
        <v>9</v>
      </c>
      <c r="E55" s="1">
        <v>59</v>
      </c>
      <c r="F55" s="1">
        <v>61663</v>
      </c>
      <c r="G55" s="1">
        <v>3638117</v>
      </c>
    </row>
    <row r="56" spans="1:7" ht="12.5" x14ac:dyDescent="0.25">
      <c r="A56" s="2">
        <v>45660</v>
      </c>
      <c r="B56" s="1" t="s">
        <v>21</v>
      </c>
      <c r="C56" s="1" t="s">
        <v>8</v>
      </c>
      <c r="D56" s="1" t="s">
        <v>20</v>
      </c>
      <c r="E56" s="1">
        <v>59</v>
      </c>
      <c r="F56" s="1">
        <v>122547</v>
      </c>
      <c r="G56" s="1">
        <v>7230273</v>
      </c>
    </row>
    <row r="57" spans="1:7" ht="12.5" x14ac:dyDescent="0.25">
      <c r="A57" s="2">
        <v>45660</v>
      </c>
      <c r="B57" s="1" t="s">
        <v>21</v>
      </c>
      <c r="C57" s="1" t="s">
        <v>22</v>
      </c>
      <c r="D57" s="1" t="s">
        <v>18</v>
      </c>
      <c r="E57" s="1">
        <v>19</v>
      </c>
      <c r="F57" s="1">
        <v>152483</v>
      </c>
      <c r="G57" s="1">
        <v>2897177</v>
      </c>
    </row>
    <row r="58" spans="1:7" ht="12.5" x14ac:dyDescent="0.25">
      <c r="A58" s="2">
        <v>45660</v>
      </c>
      <c r="B58" s="1" t="s">
        <v>21</v>
      </c>
      <c r="C58" s="1" t="s">
        <v>8</v>
      </c>
      <c r="D58" s="1" t="s">
        <v>20</v>
      </c>
      <c r="E58" s="1">
        <v>33</v>
      </c>
      <c r="F58" s="1">
        <v>487095</v>
      </c>
      <c r="G58" s="1">
        <v>16074135</v>
      </c>
    </row>
    <row r="59" spans="1:7" ht="12.5" x14ac:dyDescent="0.25">
      <c r="A59" s="2">
        <v>45660</v>
      </c>
      <c r="B59" s="1" t="s">
        <v>21</v>
      </c>
      <c r="C59" s="1" t="s">
        <v>8</v>
      </c>
      <c r="D59" s="1" t="s">
        <v>17</v>
      </c>
      <c r="E59" s="1">
        <v>11</v>
      </c>
      <c r="F59" s="1">
        <v>18155</v>
      </c>
      <c r="G59" s="1">
        <v>199705</v>
      </c>
    </row>
    <row r="60" spans="1:7" ht="12.5" x14ac:dyDescent="0.25">
      <c r="A60" s="2">
        <v>45661</v>
      </c>
      <c r="B60" s="1" t="s">
        <v>21</v>
      </c>
      <c r="C60" s="1" t="s">
        <v>24</v>
      </c>
      <c r="D60" s="1" t="s">
        <v>20</v>
      </c>
      <c r="E60" s="1">
        <v>23</v>
      </c>
      <c r="F60" s="1">
        <v>157718</v>
      </c>
      <c r="G60" s="1">
        <v>3627514</v>
      </c>
    </row>
    <row r="61" spans="1:7" ht="12.5" x14ac:dyDescent="0.25">
      <c r="A61" s="2">
        <v>45661</v>
      </c>
      <c r="B61" s="1" t="s">
        <v>21</v>
      </c>
      <c r="C61" s="1" t="s">
        <v>8</v>
      </c>
      <c r="D61" s="1" t="s">
        <v>20</v>
      </c>
      <c r="E61" s="1">
        <v>116</v>
      </c>
      <c r="F61" s="1">
        <v>480587</v>
      </c>
      <c r="G61" s="1">
        <v>55748092</v>
      </c>
    </row>
    <row r="62" spans="1:7" ht="12.5" x14ac:dyDescent="0.25">
      <c r="A62" s="2">
        <v>45661</v>
      </c>
      <c r="B62" s="1" t="s">
        <v>21</v>
      </c>
      <c r="C62" s="1" t="s">
        <v>8</v>
      </c>
      <c r="D62" s="1" t="s">
        <v>12</v>
      </c>
      <c r="E62" s="1">
        <v>48</v>
      </c>
      <c r="F62" s="1">
        <v>385037</v>
      </c>
      <c r="G62" s="1">
        <v>18481776</v>
      </c>
    </row>
    <row r="63" spans="1:7" ht="12.5" x14ac:dyDescent="0.25">
      <c r="A63" s="2">
        <v>45661</v>
      </c>
      <c r="B63" s="1" t="s">
        <v>21</v>
      </c>
      <c r="C63" s="1" t="s">
        <v>11</v>
      </c>
      <c r="D63" s="1" t="s">
        <v>17</v>
      </c>
      <c r="E63" s="1">
        <v>32</v>
      </c>
      <c r="F63" s="1">
        <v>202506</v>
      </c>
      <c r="G63" s="1">
        <v>6480192</v>
      </c>
    </row>
    <row r="64" spans="1:7" ht="12.5" x14ac:dyDescent="0.25">
      <c r="A64" s="2">
        <v>45661</v>
      </c>
      <c r="B64" s="1" t="s">
        <v>21</v>
      </c>
      <c r="C64" s="1" t="s">
        <v>8</v>
      </c>
      <c r="D64" s="1" t="s">
        <v>9</v>
      </c>
      <c r="E64" s="1">
        <v>99</v>
      </c>
      <c r="F64" s="1">
        <v>549439</v>
      </c>
      <c r="G64" s="1">
        <v>54394461</v>
      </c>
    </row>
    <row r="65" spans="1:7" ht="12.5" x14ac:dyDescent="0.25">
      <c r="A65" s="2">
        <v>45661</v>
      </c>
      <c r="B65" s="1" t="s">
        <v>21</v>
      </c>
      <c r="C65" s="1" t="s">
        <v>8</v>
      </c>
      <c r="D65" s="1" t="s">
        <v>18</v>
      </c>
      <c r="E65" s="1">
        <v>24</v>
      </c>
      <c r="F65" s="1">
        <v>398215</v>
      </c>
      <c r="G65" s="1">
        <v>9557160</v>
      </c>
    </row>
    <row r="66" spans="1:7" ht="12.5" x14ac:dyDescent="0.25">
      <c r="A66" s="2">
        <v>45661</v>
      </c>
      <c r="B66" s="1" t="s">
        <v>21</v>
      </c>
      <c r="C66" s="1" t="s">
        <v>22</v>
      </c>
      <c r="D66" s="1" t="s">
        <v>14</v>
      </c>
      <c r="E66" s="1">
        <v>113</v>
      </c>
      <c r="F66" s="1">
        <v>42711</v>
      </c>
      <c r="G66" s="1">
        <v>4826343</v>
      </c>
    </row>
    <row r="67" spans="1:7" ht="12.5" x14ac:dyDescent="0.25">
      <c r="A67" s="2">
        <v>45661</v>
      </c>
      <c r="B67" s="1" t="s">
        <v>21</v>
      </c>
      <c r="C67" s="1" t="s">
        <v>8</v>
      </c>
      <c r="D67" s="1" t="s">
        <v>20</v>
      </c>
      <c r="E67" s="1">
        <v>99</v>
      </c>
      <c r="F67" s="1">
        <v>143272</v>
      </c>
      <c r="G67" s="1">
        <v>14183928</v>
      </c>
    </row>
    <row r="68" spans="1:7" ht="12.5" x14ac:dyDescent="0.25">
      <c r="A68" s="2">
        <v>45661</v>
      </c>
      <c r="B68" s="1" t="s">
        <v>21</v>
      </c>
      <c r="C68" s="1" t="s">
        <v>16</v>
      </c>
      <c r="D68" s="1" t="s">
        <v>9</v>
      </c>
      <c r="E68" s="1">
        <v>82</v>
      </c>
      <c r="F68" s="1">
        <v>87505</v>
      </c>
      <c r="G68" s="1">
        <v>7175410</v>
      </c>
    </row>
    <row r="69" spans="1:7" ht="12.5" x14ac:dyDescent="0.25">
      <c r="A69" s="2">
        <v>45661</v>
      </c>
      <c r="B69" s="1" t="s">
        <v>21</v>
      </c>
      <c r="C69" s="1" t="s">
        <v>11</v>
      </c>
      <c r="D69" s="1" t="s">
        <v>17</v>
      </c>
      <c r="E69" s="1">
        <v>41</v>
      </c>
      <c r="F69" s="1">
        <v>100272</v>
      </c>
      <c r="G69" s="1">
        <v>4111152</v>
      </c>
    </row>
    <row r="70" spans="1:7" ht="12.5" x14ac:dyDescent="0.25">
      <c r="A70" s="2">
        <v>45661</v>
      </c>
      <c r="B70" s="1" t="s">
        <v>19</v>
      </c>
      <c r="C70" s="1" t="s">
        <v>16</v>
      </c>
      <c r="D70" s="1" t="s">
        <v>9</v>
      </c>
      <c r="E70" s="1">
        <v>21</v>
      </c>
      <c r="F70" s="1">
        <v>490047</v>
      </c>
      <c r="G70" s="1">
        <v>10290987</v>
      </c>
    </row>
    <row r="71" spans="1:7" ht="12.5" x14ac:dyDescent="0.25">
      <c r="A71" s="2">
        <v>45661</v>
      </c>
      <c r="B71" s="1" t="s">
        <v>19</v>
      </c>
      <c r="C71" s="1" t="s">
        <v>8</v>
      </c>
      <c r="D71" s="1" t="s">
        <v>9</v>
      </c>
      <c r="E71" s="1">
        <v>33</v>
      </c>
      <c r="F71" s="1">
        <v>266687</v>
      </c>
      <c r="G71" s="1">
        <v>8800671</v>
      </c>
    </row>
    <row r="72" spans="1:7" ht="12.5" x14ac:dyDescent="0.25">
      <c r="A72" s="2">
        <v>45661</v>
      </c>
      <c r="B72" s="1" t="s">
        <v>19</v>
      </c>
      <c r="C72" s="1" t="s">
        <v>22</v>
      </c>
      <c r="D72" s="1" t="s">
        <v>14</v>
      </c>
      <c r="E72" s="1">
        <v>86</v>
      </c>
      <c r="F72" s="1">
        <v>291974</v>
      </c>
      <c r="G72" s="1">
        <v>25109764</v>
      </c>
    </row>
    <row r="73" spans="1:7" ht="12.5" x14ac:dyDescent="0.25">
      <c r="A73" s="2">
        <v>45661</v>
      </c>
      <c r="B73" s="1" t="s">
        <v>19</v>
      </c>
      <c r="C73" s="1" t="s">
        <v>16</v>
      </c>
      <c r="D73" s="1" t="s">
        <v>14</v>
      </c>
      <c r="E73" s="1">
        <v>38</v>
      </c>
      <c r="F73" s="1">
        <v>144508</v>
      </c>
      <c r="G73" s="1">
        <v>5491304</v>
      </c>
    </row>
    <row r="74" spans="1:7" ht="12.5" x14ac:dyDescent="0.25">
      <c r="A74" s="2">
        <v>45661</v>
      </c>
      <c r="B74" s="1" t="s">
        <v>19</v>
      </c>
      <c r="C74" s="1" t="s">
        <v>22</v>
      </c>
      <c r="D74" s="1" t="s">
        <v>17</v>
      </c>
      <c r="E74" s="1">
        <v>27</v>
      </c>
      <c r="F74" s="1">
        <v>370032</v>
      </c>
      <c r="G74" s="1">
        <v>9990864</v>
      </c>
    </row>
    <row r="75" spans="1:7" ht="12.5" x14ac:dyDescent="0.25">
      <c r="A75" s="2">
        <v>45661</v>
      </c>
      <c r="B75" s="1" t="s">
        <v>19</v>
      </c>
      <c r="C75" s="1" t="s">
        <v>11</v>
      </c>
      <c r="D75" s="1" t="s">
        <v>9</v>
      </c>
      <c r="E75" s="1">
        <v>61</v>
      </c>
      <c r="F75" s="1">
        <v>55714</v>
      </c>
      <c r="G75" s="1">
        <v>3398554</v>
      </c>
    </row>
    <row r="76" spans="1:7" ht="12.5" x14ac:dyDescent="0.25">
      <c r="A76" s="2">
        <v>45662</v>
      </c>
      <c r="B76" s="1" t="s">
        <v>19</v>
      </c>
      <c r="C76" s="1" t="s">
        <v>8</v>
      </c>
      <c r="D76" s="1" t="s">
        <v>12</v>
      </c>
      <c r="E76" s="1">
        <v>17</v>
      </c>
      <c r="F76" s="1">
        <v>134123</v>
      </c>
      <c r="G76" s="1">
        <v>2280091</v>
      </c>
    </row>
    <row r="77" spans="1:7" ht="12.5" x14ac:dyDescent="0.25">
      <c r="A77" s="2">
        <v>45662</v>
      </c>
      <c r="B77" s="1" t="s">
        <v>19</v>
      </c>
      <c r="C77" s="1" t="s">
        <v>16</v>
      </c>
      <c r="D77" s="1" t="s">
        <v>17</v>
      </c>
      <c r="E77" s="1">
        <v>117</v>
      </c>
      <c r="F77" s="1">
        <v>188274</v>
      </c>
      <c r="G77" s="1">
        <v>22028058</v>
      </c>
    </row>
    <row r="78" spans="1:7" ht="12.5" x14ac:dyDescent="0.25">
      <c r="A78" s="2">
        <v>45662</v>
      </c>
      <c r="B78" s="1" t="s">
        <v>19</v>
      </c>
      <c r="C78" s="1" t="s">
        <v>11</v>
      </c>
      <c r="D78" s="1" t="s">
        <v>9</v>
      </c>
      <c r="E78" s="1">
        <v>24</v>
      </c>
      <c r="F78" s="1">
        <v>141373</v>
      </c>
      <c r="G78" s="1">
        <v>3392952</v>
      </c>
    </row>
    <row r="79" spans="1:7" ht="12.5" x14ac:dyDescent="0.25">
      <c r="A79" s="2">
        <v>45662</v>
      </c>
      <c r="B79" s="1" t="s">
        <v>19</v>
      </c>
      <c r="C79" s="1" t="s">
        <v>8</v>
      </c>
      <c r="D79" s="1" t="s">
        <v>12</v>
      </c>
      <c r="E79" s="1">
        <v>97</v>
      </c>
      <c r="F79" s="1">
        <v>75726</v>
      </c>
      <c r="G79" s="1">
        <v>7345422</v>
      </c>
    </row>
    <row r="80" spans="1:7" ht="12.5" x14ac:dyDescent="0.25">
      <c r="A80" s="2">
        <v>45662</v>
      </c>
      <c r="B80" s="1" t="s">
        <v>19</v>
      </c>
      <c r="C80" s="1" t="s">
        <v>8</v>
      </c>
      <c r="D80" s="1" t="s">
        <v>20</v>
      </c>
      <c r="E80" s="1">
        <v>33</v>
      </c>
      <c r="F80" s="1">
        <v>128015</v>
      </c>
      <c r="G80" s="1">
        <v>4224495</v>
      </c>
    </row>
    <row r="81" spans="1:7" ht="12.5" x14ac:dyDescent="0.25">
      <c r="A81" s="2">
        <v>45662</v>
      </c>
      <c r="B81" s="1" t="s">
        <v>19</v>
      </c>
      <c r="C81" s="1" t="s">
        <v>8</v>
      </c>
      <c r="D81" s="1" t="s">
        <v>20</v>
      </c>
      <c r="E81" s="1">
        <v>106</v>
      </c>
      <c r="F81" s="1">
        <v>523758</v>
      </c>
      <c r="G81" s="1">
        <v>55518348</v>
      </c>
    </row>
    <row r="82" spans="1:7" ht="12.5" x14ac:dyDescent="0.25">
      <c r="A82" s="2">
        <v>45662</v>
      </c>
      <c r="B82" s="1" t="s">
        <v>19</v>
      </c>
      <c r="C82" s="1" t="s">
        <v>22</v>
      </c>
      <c r="D82" s="1" t="s">
        <v>20</v>
      </c>
      <c r="E82" s="1">
        <v>104</v>
      </c>
      <c r="F82" s="1">
        <v>455101</v>
      </c>
      <c r="G82" s="1">
        <v>47330504</v>
      </c>
    </row>
    <row r="83" spans="1:7" ht="12.5" x14ac:dyDescent="0.25">
      <c r="A83" s="2">
        <v>45662</v>
      </c>
      <c r="B83" s="1" t="s">
        <v>19</v>
      </c>
      <c r="C83" s="1" t="s">
        <v>8</v>
      </c>
      <c r="D83" s="1" t="s">
        <v>9</v>
      </c>
      <c r="E83" s="1">
        <v>86</v>
      </c>
      <c r="F83" s="1">
        <v>28070</v>
      </c>
      <c r="G83" s="1">
        <v>2414020</v>
      </c>
    </row>
    <row r="84" spans="1:7" ht="12.5" x14ac:dyDescent="0.25">
      <c r="A84" s="2">
        <v>45662</v>
      </c>
      <c r="B84" s="1" t="s">
        <v>19</v>
      </c>
      <c r="C84" s="1" t="s">
        <v>24</v>
      </c>
      <c r="D84" s="1" t="s">
        <v>17</v>
      </c>
      <c r="E84" s="1">
        <v>2</v>
      </c>
      <c r="F84" s="1">
        <v>186089</v>
      </c>
      <c r="G84" s="1">
        <v>372178</v>
      </c>
    </row>
    <row r="85" spans="1:7" ht="12.5" x14ac:dyDescent="0.25">
      <c r="A85" s="2">
        <v>45662</v>
      </c>
      <c r="B85" s="1" t="s">
        <v>19</v>
      </c>
      <c r="C85" s="1" t="s">
        <v>8</v>
      </c>
      <c r="D85" s="1" t="s">
        <v>12</v>
      </c>
      <c r="E85" s="1">
        <v>43</v>
      </c>
      <c r="F85" s="1">
        <v>508863</v>
      </c>
      <c r="G85" s="1">
        <v>21881109</v>
      </c>
    </row>
    <row r="86" spans="1:7" ht="12.5" x14ac:dyDescent="0.25">
      <c r="A86" s="2">
        <v>45662</v>
      </c>
      <c r="B86" s="1" t="s">
        <v>19</v>
      </c>
      <c r="C86" s="1" t="s">
        <v>24</v>
      </c>
      <c r="D86" s="1" t="s">
        <v>20</v>
      </c>
      <c r="E86" s="1">
        <v>119</v>
      </c>
      <c r="F86" s="1">
        <v>452905</v>
      </c>
      <c r="G86" s="1">
        <v>53895695</v>
      </c>
    </row>
    <row r="87" spans="1:7" ht="12.5" x14ac:dyDescent="0.25">
      <c r="A87" s="2">
        <v>45662</v>
      </c>
      <c r="B87" s="1" t="s">
        <v>19</v>
      </c>
      <c r="C87" s="1" t="s">
        <v>8</v>
      </c>
      <c r="D87" s="1" t="s">
        <v>17</v>
      </c>
      <c r="E87" s="1">
        <v>24</v>
      </c>
      <c r="F87" s="1">
        <v>229963</v>
      </c>
      <c r="G87" s="1">
        <v>5519112</v>
      </c>
    </row>
    <row r="88" spans="1:7" ht="12.5" x14ac:dyDescent="0.25">
      <c r="A88" s="2">
        <v>45662</v>
      </c>
      <c r="B88" s="1" t="s">
        <v>19</v>
      </c>
      <c r="C88" s="1" t="s">
        <v>8</v>
      </c>
      <c r="D88" s="1" t="s">
        <v>14</v>
      </c>
      <c r="E88" s="1">
        <v>45</v>
      </c>
      <c r="F88" s="1">
        <v>274512</v>
      </c>
      <c r="G88" s="1">
        <v>12353040</v>
      </c>
    </row>
    <row r="89" spans="1:7" ht="12.5" x14ac:dyDescent="0.25">
      <c r="A89" s="2">
        <v>45663</v>
      </c>
      <c r="B89" s="1" t="s">
        <v>19</v>
      </c>
      <c r="C89" s="1" t="s">
        <v>16</v>
      </c>
      <c r="D89" s="1" t="s">
        <v>18</v>
      </c>
      <c r="E89" s="1">
        <v>76</v>
      </c>
      <c r="F89" s="1">
        <v>458982</v>
      </c>
      <c r="G89" s="1">
        <v>34882632</v>
      </c>
    </row>
    <row r="90" spans="1:7" ht="12.5" x14ac:dyDescent="0.25">
      <c r="A90" s="2">
        <v>45663</v>
      </c>
      <c r="B90" s="1" t="s">
        <v>19</v>
      </c>
      <c r="C90" s="1" t="s">
        <v>24</v>
      </c>
      <c r="D90" s="1" t="s">
        <v>17</v>
      </c>
      <c r="E90" s="1">
        <v>66</v>
      </c>
      <c r="F90" s="1">
        <v>240229</v>
      </c>
      <c r="G90" s="1">
        <v>15855114</v>
      </c>
    </row>
    <row r="91" spans="1:7" ht="12.5" x14ac:dyDescent="0.25">
      <c r="A91" s="2">
        <v>45663</v>
      </c>
      <c r="B91" s="1" t="s">
        <v>19</v>
      </c>
      <c r="C91" s="1" t="s">
        <v>24</v>
      </c>
      <c r="D91" s="1" t="s">
        <v>20</v>
      </c>
      <c r="E91" s="1">
        <v>63</v>
      </c>
      <c r="F91" s="1">
        <v>294821</v>
      </c>
      <c r="G91" s="1">
        <v>18573723</v>
      </c>
    </row>
    <row r="92" spans="1:7" ht="12.5" x14ac:dyDescent="0.25">
      <c r="A92" s="2">
        <v>45663</v>
      </c>
      <c r="B92" s="1" t="s">
        <v>19</v>
      </c>
      <c r="C92" s="1" t="s">
        <v>16</v>
      </c>
      <c r="D92" s="1" t="s">
        <v>14</v>
      </c>
      <c r="E92" s="1">
        <v>49</v>
      </c>
      <c r="F92" s="1">
        <v>80313</v>
      </c>
      <c r="G92" s="1">
        <v>3935337</v>
      </c>
    </row>
    <row r="93" spans="1:7" ht="12.5" x14ac:dyDescent="0.25">
      <c r="A93" s="2">
        <v>45663</v>
      </c>
      <c r="B93" s="1" t="s">
        <v>19</v>
      </c>
      <c r="C93" s="1" t="s">
        <v>22</v>
      </c>
      <c r="D93" s="1" t="s">
        <v>12</v>
      </c>
      <c r="E93" s="1">
        <v>60</v>
      </c>
      <c r="F93" s="1">
        <v>123632</v>
      </c>
      <c r="G93" s="1">
        <v>7417920</v>
      </c>
    </row>
    <row r="94" spans="1:7" ht="12.5" x14ac:dyDescent="0.25">
      <c r="A94" s="2">
        <v>45663</v>
      </c>
      <c r="B94" s="1" t="s">
        <v>19</v>
      </c>
      <c r="C94" s="1" t="s">
        <v>8</v>
      </c>
      <c r="D94" s="1" t="s">
        <v>18</v>
      </c>
      <c r="E94" s="1">
        <v>108</v>
      </c>
      <c r="F94" s="1">
        <v>386836</v>
      </c>
      <c r="G94" s="1">
        <v>41778288</v>
      </c>
    </row>
    <row r="95" spans="1:7" ht="12.5" x14ac:dyDescent="0.25">
      <c r="A95" s="2">
        <v>45663</v>
      </c>
      <c r="B95" s="1" t="s">
        <v>19</v>
      </c>
      <c r="C95" s="1" t="s">
        <v>16</v>
      </c>
      <c r="D95" s="1" t="s">
        <v>14</v>
      </c>
      <c r="E95" s="1">
        <v>109</v>
      </c>
      <c r="F95" s="1">
        <v>199407</v>
      </c>
      <c r="G95" s="1">
        <v>21735363</v>
      </c>
    </row>
    <row r="96" spans="1:7" ht="12.5" x14ac:dyDescent="0.25">
      <c r="A96" s="2">
        <v>45663</v>
      </c>
      <c r="B96" s="1" t="s">
        <v>19</v>
      </c>
      <c r="C96" s="1" t="s">
        <v>8</v>
      </c>
      <c r="D96" s="1" t="s">
        <v>12</v>
      </c>
      <c r="E96" s="1">
        <v>99</v>
      </c>
      <c r="F96" s="1">
        <v>83523</v>
      </c>
      <c r="G96" s="1">
        <v>8268777</v>
      </c>
    </row>
    <row r="97" spans="1:7" ht="12.5" x14ac:dyDescent="0.25">
      <c r="A97" s="2">
        <v>45663</v>
      </c>
      <c r="B97" s="1" t="s">
        <v>19</v>
      </c>
      <c r="C97" s="1" t="s">
        <v>24</v>
      </c>
      <c r="D97" s="1" t="s">
        <v>9</v>
      </c>
      <c r="E97" s="1">
        <v>106</v>
      </c>
      <c r="F97" s="1">
        <v>232866</v>
      </c>
      <c r="G97" s="1">
        <v>24683796</v>
      </c>
    </row>
    <row r="98" spans="1:7" ht="12.5" x14ac:dyDescent="0.25">
      <c r="A98" s="2">
        <v>45663</v>
      </c>
      <c r="B98" s="1" t="s">
        <v>19</v>
      </c>
      <c r="C98" s="1" t="s">
        <v>8</v>
      </c>
      <c r="D98" s="1" t="s">
        <v>12</v>
      </c>
      <c r="E98" s="1">
        <v>58</v>
      </c>
      <c r="F98" s="1">
        <v>384710</v>
      </c>
      <c r="G98" s="1">
        <v>22313180</v>
      </c>
    </row>
    <row r="99" spans="1:7" ht="12.5" x14ac:dyDescent="0.25">
      <c r="A99" s="2">
        <v>45663</v>
      </c>
      <c r="B99" s="1" t="s">
        <v>19</v>
      </c>
      <c r="C99" s="1" t="s">
        <v>24</v>
      </c>
      <c r="D99" s="1" t="s">
        <v>17</v>
      </c>
      <c r="E99" s="1">
        <v>117</v>
      </c>
      <c r="F99" s="1">
        <v>278093</v>
      </c>
      <c r="G99" s="1">
        <v>32536881</v>
      </c>
    </row>
    <row r="100" spans="1:7" ht="12.5" x14ac:dyDescent="0.25">
      <c r="A100" s="2">
        <v>45663</v>
      </c>
      <c r="B100" s="1" t="s">
        <v>19</v>
      </c>
      <c r="C100" s="1" t="s">
        <v>8</v>
      </c>
      <c r="D100" s="1" t="s">
        <v>20</v>
      </c>
      <c r="E100" s="1">
        <v>117</v>
      </c>
      <c r="F100" s="1">
        <v>388496</v>
      </c>
      <c r="G100" s="1">
        <v>45454032</v>
      </c>
    </row>
    <row r="101" spans="1:7" ht="12.5" x14ac:dyDescent="0.25">
      <c r="A101" s="2">
        <v>45663</v>
      </c>
      <c r="B101" s="1" t="s">
        <v>19</v>
      </c>
      <c r="C101" s="1" t="s">
        <v>8</v>
      </c>
      <c r="D101" s="1" t="s">
        <v>14</v>
      </c>
      <c r="E101" s="1">
        <v>111</v>
      </c>
      <c r="F101" s="1">
        <v>187247</v>
      </c>
      <c r="G101" s="1">
        <v>20784417</v>
      </c>
    </row>
    <row r="102" spans="1:7" ht="12.5" x14ac:dyDescent="0.25">
      <c r="A102" s="2">
        <v>45664</v>
      </c>
      <c r="B102" s="1" t="s">
        <v>19</v>
      </c>
      <c r="C102" s="1" t="s">
        <v>8</v>
      </c>
      <c r="D102" s="1" t="s">
        <v>17</v>
      </c>
      <c r="E102" s="1">
        <v>104</v>
      </c>
      <c r="F102" s="1">
        <v>197628</v>
      </c>
      <c r="G102" s="1">
        <v>20553312</v>
      </c>
    </row>
    <row r="103" spans="1:7" ht="12.5" x14ac:dyDescent="0.25">
      <c r="A103" s="2">
        <v>45664</v>
      </c>
      <c r="B103" s="1" t="s">
        <v>19</v>
      </c>
      <c r="C103" s="1" t="s">
        <v>11</v>
      </c>
      <c r="D103" s="1" t="s">
        <v>9</v>
      </c>
      <c r="E103" s="1">
        <v>103</v>
      </c>
      <c r="F103" s="1">
        <v>262764</v>
      </c>
      <c r="G103" s="1">
        <v>27064692</v>
      </c>
    </row>
    <row r="104" spans="1:7" ht="12.5" x14ac:dyDescent="0.25">
      <c r="A104" s="2">
        <v>45664</v>
      </c>
      <c r="B104" s="1" t="s">
        <v>19</v>
      </c>
      <c r="C104" s="1" t="s">
        <v>8</v>
      </c>
      <c r="D104" s="1" t="s">
        <v>12</v>
      </c>
      <c r="E104" s="1">
        <v>26</v>
      </c>
      <c r="F104" s="1">
        <v>77215</v>
      </c>
      <c r="G104" s="1">
        <v>2007590</v>
      </c>
    </row>
    <row r="105" spans="1:7" ht="12.5" x14ac:dyDescent="0.25">
      <c r="A105" s="2">
        <v>45664</v>
      </c>
      <c r="B105" s="1" t="s">
        <v>19</v>
      </c>
      <c r="C105" s="1" t="s">
        <v>16</v>
      </c>
      <c r="D105" s="1" t="s">
        <v>18</v>
      </c>
      <c r="E105" s="1">
        <v>57</v>
      </c>
      <c r="F105" s="1">
        <v>365612</v>
      </c>
      <c r="G105" s="1">
        <v>20839884</v>
      </c>
    </row>
    <row r="106" spans="1:7" ht="12.5" x14ac:dyDescent="0.25">
      <c r="A106" s="2">
        <v>45664</v>
      </c>
      <c r="B106" s="1" t="s">
        <v>19</v>
      </c>
      <c r="C106" s="1" t="s">
        <v>11</v>
      </c>
      <c r="D106" s="1" t="s">
        <v>12</v>
      </c>
      <c r="E106" s="1">
        <v>47</v>
      </c>
      <c r="F106" s="1">
        <v>88781</v>
      </c>
      <c r="G106" s="1">
        <v>4172707</v>
      </c>
    </row>
    <row r="107" spans="1:7" ht="12.5" x14ac:dyDescent="0.25">
      <c r="A107" s="2">
        <v>45664</v>
      </c>
      <c r="B107" s="1" t="s">
        <v>19</v>
      </c>
      <c r="C107" s="1" t="s">
        <v>8</v>
      </c>
      <c r="D107" s="1" t="s">
        <v>18</v>
      </c>
      <c r="E107" s="1">
        <v>16</v>
      </c>
      <c r="F107" s="1">
        <v>131172</v>
      </c>
      <c r="G107" s="1">
        <v>2098752</v>
      </c>
    </row>
    <row r="108" spans="1:7" ht="12.5" x14ac:dyDescent="0.25">
      <c r="A108" s="2">
        <v>45664</v>
      </c>
      <c r="B108" s="1" t="s">
        <v>19</v>
      </c>
      <c r="C108" s="1" t="s">
        <v>8</v>
      </c>
      <c r="D108" s="1" t="s">
        <v>20</v>
      </c>
      <c r="E108" s="1">
        <v>94</v>
      </c>
      <c r="F108" s="1">
        <v>505972</v>
      </c>
      <c r="G108" s="1">
        <v>47561368</v>
      </c>
    </row>
    <row r="109" spans="1:7" ht="12.5" x14ac:dyDescent="0.25">
      <c r="A109" s="2">
        <v>45664</v>
      </c>
      <c r="B109" s="1" t="s">
        <v>19</v>
      </c>
      <c r="C109" s="1" t="s">
        <v>24</v>
      </c>
      <c r="D109" s="1" t="s">
        <v>20</v>
      </c>
      <c r="E109" s="1">
        <v>118</v>
      </c>
      <c r="F109" s="1">
        <v>370260</v>
      </c>
      <c r="G109" s="1">
        <v>43690680</v>
      </c>
    </row>
    <row r="110" spans="1:7" ht="12.5" x14ac:dyDescent="0.25">
      <c r="A110" s="2">
        <v>45664</v>
      </c>
      <c r="B110" s="1" t="s">
        <v>19</v>
      </c>
      <c r="C110" s="1" t="s">
        <v>8</v>
      </c>
      <c r="D110" s="1" t="s">
        <v>17</v>
      </c>
      <c r="E110" s="1">
        <v>95</v>
      </c>
      <c r="F110" s="1">
        <v>382370</v>
      </c>
      <c r="G110" s="1">
        <v>36325150</v>
      </c>
    </row>
    <row r="111" spans="1:7" ht="12.5" x14ac:dyDescent="0.25">
      <c r="A111" s="2">
        <v>45664</v>
      </c>
      <c r="B111" s="1" t="s">
        <v>19</v>
      </c>
      <c r="C111" s="1" t="s">
        <v>11</v>
      </c>
      <c r="D111" s="1" t="s">
        <v>20</v>
      </c>
      <c r="E111" s="1">
        <v>109</v>
      </c>
      <c r="F111" s="1">
        <v>407827</v>
      </c>
      <c r="G111" s="1">
        <v>44453143</v>
      </c>
    </row>
    <row r="112" spans="1:7" ht="12.5" x14ac:dyDescent="0.25">
      <c r="A112" s="2">
        <v>45664</v>
      </c>
      <c r="B112" s="1" t="s">
        <v>19</v>
      </c>
      <c r="C112" s="1" t="s">
        <v>8</v>
      </c>
      <c r="D112" s="1" t="s">
        <v>18</v>
      </c>
      <c r="E112" s="1">
        <v>92</v>
      </c>
      <c r="F112" s="1">
        <v>363151</v>
      </c>
      <c r="G112" s="1">
        <v>33409892</v>
      </c>
    </row>
    <row r="113" spans="1:7" ht="12.5" x14ac:dyDescent="0.25">
      <c r="A113" s="2">
        <v>45664</v>
      </c>
      <c r="B113" s="1" t="s">
        <v>19</v>
      </c>
      <c r="C113" s="1" t="s">
        <v>8</v>
      </c>
      <c r="D113" s="1" t="s">
        <v>17</v>
      </c>
      <c r="E113" s="1">
        <v>50</v>
      </c>
      <c r="F113" s="1">
        <v>546226</v>
      </c>
      <c r="G113" s="1">
        <v>27311300</v>
      </c>
    </row>
    <row r="114" spans="1:7" ht="12.5" x14ac:dyDescent="0.25">
      <c r="A114" s="2">
        <v>45664</v>
      </c>
      <c r="B114" s="1" t="s">
        <v>19</v>
      </c>
      <c r="C114" s="1" t="s">
        <v>8</v>
      </c>
      <c r="D114" s="1" t="s">
        <v>18</v>
      </c>
      <c r="E114" s="1">
        <v>61</v>
      </c>
      <c r="F114" s="1">
        <v>365754</v>
      </c>
      <c r="G114" s="1">
        <v>22310994</v>
      </c>
    </row>
    <row r="115" spans="1:7" ht="12.5" x14ac:dyDescent="0.25">
      <c r="A115" s="2">
        <v>45665</v>
      </c>
      <c r="B115" s="1" t="s">
        <v>19</v>
      </c>
      <c r="C115" s="1" t="s">
        <v>22</v>
      </c>
      <c r="D115" s="1" t="s">
        <v>20</v>
      </c>
      <c r="E115" s="1">
        <v>65</v>
      </c>
      <c r="F115" s="1">
        <v>48304</v>
      </c>
      <c r="G115" s="1">
        <v>3139760</v>
      </c>
    </row>
    <row r="116" spans="1:7" ht="12.5" x14ac:dyDescent="0.25">
      <c r="A116" s="2">
        <v>45665</v>
      </c>
      <c r="B116" s="1" t="s">
        <v>19</v>
      </c>
      <c r="C116" s="1" t="s">
        <v>22</v>
      </c>
      <c r="D116" s="1" t="s">
        <v>18</v>
      </c>
      <c r="E116" s="1">
        <v>44</v>
      </c>
      <c r="F116" s="1">
        <v>161836</v>
      </c>
      <c r="G116" s="1">
        <v>7120784</v>
      </c>
    </row>
    <row r="117" spans="1:7" ht="12.5" x14ac:dyDescent="0.25">
      <c r="A117" s="2">
        <v>45665</v>
      </c>
      <c r="B117" s="1" t="s">
        <v>19</v>
      </c>
      <c r="C117" s="1" t="s">
        <v>8</v>
      </c>
      <c r="D117" s="1" t="s">
        <v>17</v>
      </c>
      <c r="E117" s="1">
        <v>46</v>
      </c>
      <c r="F117" s="1">
        <v>395777</v>
      </c>
      <c r="G117" s="1">
        <v>18205742</v>
      </c>
    </row>
    <row r="118" spans="1:7" ht="12.5" x14ac:dyDescent="0.25">
      <c r="A118" s="2">
        <v>45665</v>
      </c>
      <c r="B118" s="1" t="s">
        <v>19</v>
      </c>
      <c r="C118" s="1" t="s">
        <v>24</v>
      </c>
      <c r="D118" s="1" t="s">
        <v>20</v>
      </c>
      <c r="E118" s="1">
        <v>8</v>
      </c>
      <c r="F118" s="1">
        <v>347497</v>
      </c>
      <c r="G118" s="1">
        <v>2779976</v>
      </c>
    </row>
    <row r="119" spans="1:7" ht="12.5" x14ac:dyDescent="0.25">
      <c r="A119" s="2">
        <v>45665</v>
      </c>
      <c r="B119" s="1" t="s">
        <v>19</v>
      </c>
      <c r="C119" s="1" t="s">
        <v>22</v>
      </c>
      <c r="D119" s="1" t="s">
        <v>12</v>
      </c>
      <c r="E119" s="1">
        <v>105</v>
      </c>
      <c r="F119" s="1">
        <v>13267</v>
      </c>
      <c r="G119" s="1">
        <v>1393035</v>
      </c>
    </row>
    <row r="120" spans="1:7" ht="12.5" x14ac:dyDescent="0.25">
      <c r="A120" s="2">
        <v>45665</v>
      </c>
      <c r="B120" s="1" t="s">
        <v>19</v>
      </c>
      <c r="C120" s="1" t="s">
        <v>24</v>
      </c>
      <c r="D120" s="1" t="s">
        <v>18</v>
      </c>
      <c r="E120" s="1">
        <v>109</v>
      </c>
      <c r="F120" s="1">
        <v>545626</v>
      </c>
      <c r="G120" s="1">
        <v>59473234</v>
      </c>
    </row>
    <row r="121" spans="1:7" ht="12.5" x14ac:dyDescent="0.25">
      <c r="A121" s="2">
        <v>45665</v>
      </c>
      <c r="B121" s="1" t="s">
        <v>19</v>
      </c>
      <c r="C121" s="1" t="s">
        <v>8</v>
      </c>
      <c r="D121" s="1" t="s">
        <v>18</v>
      </c>
      <c r="E121" s="1">
        <v>21</v>
      </c>
      <c r="F121" s="1">
        <v>230156</v>
      </c>
      <c r="G121" s="1">
        <v>4833276</v>
      </c>
    </row>
    <row r="122" spans="1:7" ht="12.5" x14ac:dyDescent="0.25">
      <c r="A122" s="2">
        <v>45665</v>
      </c>
      <c r="B122" s="1" t="s">
        <v>19</v>
      </c>
      <c r="C122" s="1" t="s">
        <v>24</v>
      </c>
      <c r="D122" s="1" t="s">
        <v>18</v>
      </c>
      <c r="E122" s="1">
        <v>101</v>
      </c>
      <c r="F122" s="1">
        <v>124352</v>
      </c>
      <c r="G122" s="1">
        <v>12559552</v>
      </c>
    </row>
    <row r="123" spans="1:7" ht="12.5" x14ac:dyDescent="0.25">
      <c r="A123" s="2">
        <v>45665</v>
      </c>
      <c r="B123" s="1" t="s">
        <v>19</v>
      </c>
      <c r="C123" s="1" t="s">
        <v>24</v>
      </c>
      <c r="D123" s="1" t="s">
        <v>14</v>
      </c>
      <c r="E123" s="1">
        <v>113</v>
      </c>
      <c r="F123" s="1">
        <v>206582</v>
      </c>
      <c r="G123" s="1">
        <v>23343766</v>
      </c>
    </row>
    <row r="124" spans="1:7" ht="12.5" x14ac:dyDescent="0.25">
      <c r="A124" s="2">
        <v>45665</v>
      </c>
      <c r="B124" s="1" t="s">
        <v>19</v>
      </c>
      <c r="C124" s="1" t="s">
        <v>11</v>
      </c>
      <c r="D124" s="1" t="s">
        <v>12</v>
      </c>
      <c r="E124" s="1">
        <v>12</v>
      </c>
      <c r="F124" s="1">
        <v>177280</v>
      </c>
      <c r="G124" s="1">
        <v>2127360</v>
      </c>
    </row>
    <row r="125" spans="1:7" ht="12.5" x14ac:dyDescent="0.25">
      <c r="A125" s="2">
        <v>45665</v>
      </c>
      <c r="B125" s="1" t="s">
        <v>19</v>
      </c>
      <c r="C125" s="1" t="s">
        <v>8</v>
      </c>
      <c r="D125" s="1" t="s">
        <v>17</v>
      </c>
      <c r="E125" s="1">
        <v>89</v>
      </c>
      <c r="F125" s="1">
        <v>424568</v>
      </c>
      <c r="G125" s="1">
        <v>37786552</v>
      </c>
    </row>
    <row r="126" spans="1:7" ht="12.5" x14ac:dyDescent="0.25">
      <c r="A126" s="2">
        <v>45665</v>
      </c>
      <c r="B126" s="1" t="s">
        <v>19</v>
      </c>
      <c r="C126" s="1" t="s">
        <v>8</v>
      </c>
      <c r="D126" s="1" t="s">
        <v>14</v>
      </c>
      <c r="E126" s="1">
        <v>62</v>
      </c>
      <c r="F126" s="1">
        <v>188031</v>
      </c>
      <c r="G126" s="1">
        <v>11657922</v>
      </c>
    </row>
    <row r="127" spans="1:7" ht="12.5" x14ac:dyDescent="0.25">
      <c r="A127" s="2">
        <v>45665</v>
      </c>
      <c r="B127" s="1" t="s">
        <v>19</v>
      </c>
      <c r="C127" s="1" t="s">
        <v>11</v>
      </c>
      <c r="D127" s="1" t="s">
        <v>18</v>
      </c>
      <c r="E127" s="1">
        <v>59</v>
      </c>
      <c r="F127" s="1">
        <v>188352</v>
      </c>
      <c r="G127" s="1">
        <v>11112768</v>
      </c>
    </row>
    <row r="128" spans="1:7" ht="12.5" x14ac:dyDescent="0.25">
      <c r="A128" s="2">
        <v>45665</v>
      </c>
      <c r="B128" s="1" t="s">
        <v>19</v>
      </c>
      <c r="C128" s="1" t="s">
        <v>11</v>
      </c>
      <c r="D128" s="1" t="s">
        <v>18</v>
      </c>
      <c r="E128" s="1">
        <v>105</v>
      </c>
      <c r="F128" s="1">
        <v>69163</v>
      </c>
      <c r="G128" s="1">
        <v>7262115</v>
      </c>
    </row>
    <row r="129" spans="1:7" ht="12.5" x14ac:dyDescent="0.25">
      <c r="A129" s="2">
        <v>45665</v>
      </c>
      <c r="B129" s="1" t="s">
        <v>19</v>
      </c>
      <c r="C129" s="1" t="s">
        <v>22</v>
      </c>
      <c r="D129" s="1" t="s">
        <v>12</v>
      </c>
      <c r="E129" s="1">
        <v>111</v>
      </c>
      <c r="F129" s="1">
        <v>149407</v>
      </c>
      <c r="G129" s="1">
        <v>16584177</v>
      </c>
    </row>
    <row r="130" spans="1:7" ht="12.5" x14ac:dyDescent="0.25">
      <c r="A130" s="2">
        <v>45665</v>
      </c>
      <c r="B130" s="1" t="s">
        <v>19</v>
      </c>
      <c r="C130" s="1" t="s">
        <v>22</v>
      </c>
      <c r="D130" s="1" t="s">
        <v>9</v>
      </c>
      <c r="E130" s="1">
        <v>12</v>
      </c>
      <c r="F130" s="1">
        <v>230184</v>
      </c>
      <c r="G130" s="1">
        <v>2762208</v>
      </c>
    </row>
    <row r="131" spans="1:7" ht="12.5" x14ac:dyDescent="0.25">
      <c r="A131" s="2">
        <v>45665</v>
      </c>
      <c r="B131" s="1" t="s">
        <v>19</v>
      </c>
      <c r="C131" s="1" t="s">
        <v>11</v>
      </c>
      <c r="D131" s="1" t="s">
        <v>17</v>
      </c>
      <c r="E131" s="1">
        <v>100</v>
      </c>
      <c r="F131" s="1">
        <v>332710</v>
      </c>
      <c r="G131" s="1">
        <v>33271000</v>
      </c>
    </row>
    <row r="132" spans="1:7" ht="12.5" x14ac:dyDescent="0.25">
      <c r="A132" s="2">
        <v>45665</v>
      </c>
      <c r="B132" s="1" t="s">
        <v>19</v>
      </c>
      <c r="C132" s="1" t="s">
        <v>8</v>
      </c>
      <c r="D132" s="1" t="s">
        <v>20</v>
      </c>
      <c r="E132" s="1">
        <v>109</v>
      </c>
      <c r="F132" s="1">
        <v>99780</v>
      </c>
      <c r="G132" s="1">
        <v>10876020</v>
      </c>
    </row>
    <row r="133" spans="1:7" ht="12.5" x14ac:dyDescent="0.25">
      <c r="A133" s="2">
        <v>45665</v>
      </c>
      <c r="B133" s="1" t="s">
        <v>19</v>
      </c>
      <c r="C133" s="1" t="s">
        <v>8</v>
      </c>
      <c r="D133" s="1" t="s">
        <v>12</v>
      </c>
      <c r="E133" s="1">
        <v>14</v>
      </c>
      <c r="F133" s="1">
        <v>543636</v>
      </c>
      <c r="G133" s="1">
        <v>7610904</v>
      </c>
    </row>
    <row r="134" spans="1:7" ht="12.5" x14ac:dyDescent="0.25">
      <c r="A134" s="2">
        <v>45665</v>
      </c>
      <c r="B134" s="1" t="s">
        <v>19</v>
      </c>
      <c r="C134" s="1" t="s">
        <v>22</v>
      </c>
      <c r="D134" s="1" t="s">
        <v>18</v>
      </c>
      <c r="E134" s="1">
        <v>75</v>
      </c>
      <c r="F134" s="1">
        <v>541089</v>
      </c>
      <c r="G134" s="1">
        <v>40581675</v>
      </c>
    </row>
    <row r="135" spans="1:7" ht="12.5" x14ac:dyDescent="0.25">
      <c r="A135" s="2">
        <v>45666</v>
      </c>
      <c r="B135" s="1" t="s">
        <v>19</v>
      </c>
      <c r="C135" s="1" t="s">
        <v>8</v>
      </c>
      <c r="D135" s="1" t="s">
        <v>17</v>
      </c>
      <c r="E135" s="1">
        <v>74</v>
      </c>
      <c r="F135" s="1">
        <v>223945</v>
      </c>
      <c r="G135" s="1">
        <v>16571930</v>
      </c>
    </row>
    <row r="136" spans="1:7" ht="12.5" x14ac:dyDescent="0.25">
      <c r="A136" s="2">
        <v>45666</v>
      </c>
      <c r="B136" s="1" t="s">
        <v>19</v>
      </c>
      <c r="C136" s="1" t="s">
        <v>11</v>
      </c>
      <c r="D136" s="1" t="s">
        <v>12</v>
      </c>
      <c r="E136" s="1">
        <v>102</v>
      </c>
      <c r="F136" s="1">
        <v>535830</v>
      </c>
      <c r="G136" s="1">
        <v>54654660</v>
      </c>
    </row>
    <row r="137" spans="1:7" ht="12.5" x14ac:dyDescent="0.25">
      <c r="A137" s="2">
        <v>45666</v>
      </c>
      <c r="B137" s="1" t="s">
        <v>19</v>
      </c>
      <c r="C137" s="1" t="s">
        <v>24</v>
      </c>
      <c r="D137" s="1" t="s">
        <v>20</v>
      </c>
      <c r="E137" s="1">
        <v>9</v>
      </c>
      <c r="F137" s="1">
        <v>365249</v>
      </c>
      <c r="G137" s="1">
        <v>3287241</v>
      </c>
    </row>
    <row r="138" spans="1:7" ht="12.5" x14ac:dyDescent="0.25">
      <c r="A138" s="2">
        <v>45666</v>
      </c>
      <c r="B138" s="1" t="s">
        <v>19</v>
      </c>
      <c r="C138" s="1" t="s">
        <v>24</v>
      </c>
      <c r="D138" s="1" t="s">
        <v>9</v>
      </c>
      <c r="E138" s="1">
        <v>5</v>
      </c>
      <c r="F138" s="1">
        <v>529332</v>
      </c>
      <c r="G138" s="1">
        <v>2646660</v>
      </c>
    </row>
    <row r="139" spans="1:7" ht="12.5" x14ac:dyDescent="0.25">
      <c r="A139" s="2">
        <v>45666</v>
      </c>
      <c r="B139" s="1" t="s">
        <v>19</v>
      </c>
      <c r="C139" s="1" t="s">
        <v>11</v>
      </c>
      <c r="D139" s="1" t="s">
        <v>17</v>
      </c>
      <c r="E139" s="1">
        <v>65</v>
      </c>
      <c r="F139" s="1">
        <v>248067</v>
      </c>
      <c r="G139" s="1">
        <v>16124355</v>
      </c>
    </row>
    <row r="140" spans="1:7" ht="12.5" x14ac:dyDescent="0.25">
      <c r="A140" s="2">
        <v>45666</v>
      </c>
      <c r="B140" s="1" t="s">
        <v>19</v>
      </c>
      <c r="C140" s="1" t="s">
        <v>11</v>
      </c>
      <c r="D140" s="1" t="s">
        <v>18</v>
      </c>
      <c r="E140" s="1">
        <v>4</v>
      </c>
      <c r="F140" s="1">
        <v>527923</v>
      </c>
      <c r="G140" s="1">
        <v>2111692</v>
      </c>
    </row>
    <row r="141" spans="1:7" ht="12.5" x14ac:dyDescent="0.25">
      <c r="A141" s="2">
        <v>45666</v>
      </c>
      <c r="B141" s="1" t="s">
        <v>7</v>
      </c>
      <c r="C141" s="1" t="s">
        <v>8</v>
      </c>
      <c r="D141" s="1" t="s">
        <v>14</v>
      </c>
      <c r="E141" s="1">
        <v>19</v>
      </c>
      <c r="F141" s="1">
        <v>213196</v>
      </c>
      <c r="G141" s="1">
        <v>4050724</v>
      </c>
    </row>
    <row r="142" spans="1:7" ht="12.5" x14ac:dyDescent="0.25">
      <c r="A142" s="2">
        <v>45666</v>
      </c>
      <c r="B142" s="1" t="s">
        <v>7</v>
      </c>
      <c r="C142" s="1" t="s">
        <v>8</v>
      </c>
      <c r="D142" s="1" t="s">
        <v>14</v>
      </c>
      <c r="E142" s="1">
        <v>91</v>
      </c>
      <c r="F142" s="1">
        <v>458345</v>
      </c>
      <c r="G142" s="1">
        <v>41709395</v>
      </c>
    </row>
    <row r="143" spans="1:7" ht="12.5" x14ac:dyDescent="0.25">
      <c r="A143" s="2">
        <v>45666</v>
      </c>
      <c r="B143" s="1" t="s">
        <v>7</v>
      </c>
      <c r="C143" s="1" t="s">
        <v>22</v>
      </c>
      <c r="D143" s="1" t="s">
        <v>18</v>
      </c>
      <c r="E143" s="1">
        <v>45</v>
      </c>
      <c r="F143" s="1">
        <v>539036</v>
      </c>
      <c r="G143" s="1">
        <v>24256620</v>
      </c>
    </row>
    <row r="144" spans="1:7" ht="12.5" x14ac:dyDescent="0.25">
      <c r="A144" s="2">
        <v>45666</v>
      </c>
      <c r="B144" s="1" t="s">
        <v>7</v>
      </c>
      <c r="C144" s="1" t="s">
        <v>16</v>
      </c>
      <c r="D144" s="1" t="s">
        <v>12</v>
      </c>
      <c r="E144" s="1">
        <v>58</v>
      </c>
      <c r="F144" s="1">
        <v>40355</v>
      </c>
      <c r="G144" s="1">
        <v>2340590</v>
      </c>
    </row>
    <row r="145" spans="1:7" ht="12.5" x14ac:dyDescent="0.25">
      <c r="A145" s="2">
        <v>45666</v>
      </c>
      <c r="B145" s="1" t="s">
        <v>7</v>
      </c>
      <c r="C145" s="1" t="s">
        <v>8</v>
      </c>
      <c r="D145" s="1" t="s">
        <v>9</v>
      </c>
      <c r="E145" s="1">
        <v>105</v>
      </c>
      <c r="F145" s="1">
        <v>315062</v>
      </c>
      <c r="G145" s="1">
        <v>33081510</v>
      </c>
    </row>
    <row r="146" spans="1:7" ht="12.5" x14ac:dyDescent="0.25">
      <c r="A146" s="2">
        <v>45666</v>
      </c>
      <c r="B146" s="1" t="s">
        <v>7</v>
      </c>
      <c r="C146" s="1" t="s">
        <v>11</v>
      </c>
      <c r="D146" s="1" t="s">
        <v>18</v>
      </c>
      <c r="E146" s="1">
        <v>92</v>
      </c>
      <c r="F146" s="1">
        <v>71629</v>
      </c>
      <c r="G146" s="1">
        <v>6589868</v>
      </c>
    </row>
    <row r="147" spans="1:7" ht="12.5" x14ac:dyDescent="0.25">
      <c r="A147" s="2">
        <v>45666</v>
      </c>
      <c r="B147" s="1" t="s">
        <v>7</v>
      </c>
      <c r="C147" s="1" t="s">
        <v>8</v>
      </c>
      <c r="D147" s="1" t="s">
        <v>12</v>
      </c>
      <c r="E147" s="1">
        <v>25</v>
      </c>
      <c r="F147" s="1">
        <v>223920</v>
      </c>
      <c r="G147" s="1">
        <v>5598000</v>
      </c>
    </row>
    <row r="148" spans="1:7" ht="12.5" x14ac:dyDescent="0.25">
      <c r="A148" s="2">
        <v>45666</v>
      </c>
      <c r="B148" s="1" t="s">
        <v>7</v>
      </c>
      <c r="C148" s="1" t="s">
        <v>16</v>
      </c>
      <c r="D148" s="1" t="s">
        <v>12</v>
      </c>
      <c r="E148" s="1">
        <v>58</v>
      </c>
      <c r="F148" s="1">
        <v>514492</v>
      </c>
      <c r="G148" s="1">
        <v>29840536</v>
      </c>
    </row>
    <row r="149" spans="1:7" ht="12.5" x14ac:dyDescent="0.25">
      <c r="A149" s="2">
        <v>45666</v>
      </c>
      <c r="B149" s="1" t="s">
        <v>7</v>
      </c>
      <c r="C149" s="1" t="s">
        <v>8</v>
      </c>
      <c r="D149" s="1" t="s">
        <v>9</v>
      </c>
      <c r="E149" s="1">
        <v>21</v>
      </c>
      <c r="F149" s="1">
        <v>496261</v>
      </c>
      <c r="G149" s="1">
        <v>10421481</v>
      </c>
    </row>
    <row r="150" spans="1:7" ht="12.5" x14ac:dyDescent="0.25">
      <c r="A150" s="2">
        <v>45666</v>
      </c>
      <c r="B150" s="1" t="s">
        <v>7</v>
      </c>
      <c r="C150" s="1" t="s">
        <v>8</v>
      </c>
      <c r="D150" s="1" t="s">
        <v>9</v>
      </c>
      <c r="E150" s="1">
        <v>101</v>
      </c>
      <c r="F150" s="1">
        <v>269747</v>
      </c>
      <c r="G150" s="1">
        <v>27244447</v>
      </c>
    </row>
    <row r="151" spans="1:7" ht="12.5" x14ac:dyDescent="0.25">
      <c r="A151" s="2">
        <v>45667</v>
      </c>
      <c r="B151" s="1" t="s">
        <v>7</v>
      </c>
      <c r="C151" s="1" t="s">
        <v>8</v>
      </c>
      <c r="D151" s="1" t="s">
        <v>14</v>
      </c>
      <c r="E151" s="1">
        <v>57</v>
      </c>
      <c r="F151" s="1">
        <v>27640</v>
      </c>
      <c r="G151" s="1">
        <v>1575480</v>
      </c>
    </row>
    <row r="152" spans="1:7" ht="12.5" x14ac:dyDescent="0.25">
      <c r="A152" s="2">
        <v>45667</v>
      </c>
      <c r="B152" s="1" t="s">
        <v>7</v>
      </c>
      <c r="C152" s="1" t="s">
        <v>8</v>
      </c>
      <c r="D152" s="1" t="s">
        <v>14</v>
      </c>
      <c r="E152" s="1">
        <v>31</v>
      </c>
      <c r="F152" s="1">
        <v>511108</v>
      </c>
      <c r="G152" s="1">
        <v>15844348</v>
      </c>
    </row>
    <row r="153" spans="1:7" ht="12.5" x14ac:dyDescent="0.25">
      <c r="A153" s="2">
        <v>45667</v>
      </c>
      <c r="B153" s="1" t="s">
        <v>7</v>
      </c>
      <c r="C153" s="1" t="s">
        <v>22</v>
      </c>
      <c r="D153" s="1" t="s">
        <v>9</v>
      </c>
      <c r="E153" s="1">
        <v>16</v>
      </c>
      <c r="F153" s="1">
        <v>182502</v>
      </c>
      <c r="G153" s="1">
        <v>2920032</v>
      </c>
    </row>
    <row r="154" spans="1:7" ht="12.5" x14ac:dyDescent="0.25">
      <c r="A154" s="2">
        <v>45667</v>
      </c>
      <c r="B154" s="1" t="s">
        <v>7</v>
      </c>
      <c r="C154" s="1" t="s">
        <v>8</v>
      </c>
      <c r="D154" s="1" t="s">
        <v>14</v>
      </c>
      <c r="E154" s="1">
        <v>74</v>
      </c>
      <c r="F154" s="1">
        <v>21023</v>
      </c>
      <c r="G154" s="1">
        <v>1555702</v>
      </c>
    </row>
    <row r="155" spans="1:7" ht="12.5" x14ac:dyDescent="0.25">
      <c r="A155" s="2">
        <v>45667</v>
      </c>
      <c r="B155" s="1" t="s">
        <v>7</v>
      </c>
      <c r="C155" s="1" t="s">
        <v>8</v>
      </c>
      <c r="D155" s="1" t="s">
        <v>20</v>
      </c>
      <c r="E155" s="1">
        <v>24</v>
      </c>
      <c r="F155" s="1">
        <v>76203</v>
      </c>
      <c r="G155" s="1">
        <v>1828872</v>
      </c>
    </row>
    <row r="156" spans="1:7" ht="12.5" x14ac:dyDescent="0.25">
      <c r="A156" s="2">
        <v>45667</v>
      </c>
      <c r="B156" s="1" t="s">
        <v>7</v>
      </c>
      <c r="C156" s="1" t="s">
        <v>8</v>
      </c>
      <c r="D156" s="1" t="s">
        <v>20</v>
      </c>
      <c r="E156" s="1">
        <v>36</v>
      </c>
      <c r="F156" s="1">
        <v>333673</v>
      </c>
      <c r="G156" s="1">
        <v>12012228</v>
      </c>
    </row>
    <row r="157" spans="1:7" ht="12.5" x14ac:dyDescent="0.25">
      <c r="A157" s="2">
        <v>45667</v>
      </c>
      <c r="B157" s="1" t="s">
        <v>7</v>
      </c>
      <c r="C157" s="1" t="s">
        <v>8</v>
      </c>
      <c r="D157" s="1" t="s">
        <v>12</v>
      </c>
      <c r="E157" s="1">
        <v>50</v>
      </c>
      <c r="F157" s="1">
        <v>305451</v>
      </c>
      <c r="G157" s="1">
        <v>15272550</v>
      </c>
    </row>
    <row r="158" spans="1:7" ht="12.5" x14ac:dyDescent="0.25">
      <c r="A158" s="2">
        <v>45667</v>
      </c>
      <c r="B158" s="1" t="s">
        <v>7</v>
      </c>
      <c r="C158" s="1" t="s">
        <v>8</v>
      </c>
      <c r="D158" s="1" t="s">
        <v>17</v>
      </c>
      <c r="E158" s="1">
        <v>100</v>
      </c>
      <c r="F158" s="1">
        <v>507562</v>
      </c>
      <c r="G158" s="1">
        <v>50756200</v>
      </c>
    </row>
    <row r="159" spans="1:7" ht="12.5" x14ac:dyDescent="0.25">
      <c r="A159" s="2">
        <v>45667</v>
      </c>
      <c r="B159" s="1" t="s">
        <v>7</v>
      </c>
      <c r="C159" s="1" t="s">
        <v>8</v>
      </c>
      <c r="D159" s="1" t="s">
        <v>12</v>
      </c>
      <c r="E159" s="1">
        <v>33</v>
      </c>
      <c r="F159" s="1">
        <v>327428</v>
      </c>
      <c r="G159" s="1">
        <v>10805124</v>
      </c>
    </row>
    <row r="160" spans="1:7" ht="12.5" x14ac:dyDescent="0.25">
      <c r="A160" s="2">
        <v>45667</v>
      </c>
      <c r="B160" s="1" t="s">
        <v>7</v>
      </c>
      <c r="C160" s="1" t="s">
        <v>8</v>
      </c>
      <c r="D160" s="1" t="s">
        <v>14</v>
      </c>
      <c r="E160" s="1">
        <v>112</v>
      </c>
      <c r="F160" s="1">
        <v>92844</v>
      </c>
      <c r="G160" s="1">
        <v>10398528</v>
      </c>
    </row>
    <row r="161" spans="1:7" ht="12.5" x14ac:dyDescent="0.25">
      <c r="A161" s="2">
        <v>45667</v>
      </c>
      <c r="B161" s="1" t="s">
        <v>7</v>
      </c>
      <c r="C161" s="1" t="s">
        <v>22</v>
      </c>
      <c r="D161" s="1" t="s">
        <v>12</v>
      </c>
      <c r="E161" s="1">
        <v>6</v>
      </c>
      <c r="F161" s="1">
        <v>408929</v>
      </c>
      <c r="G161" s="1">
        <v>2453574</v>
      </c>
    </row>
    <row r="162" spans="1:7" ht="12.5" x14ac:dyDescent="0.25">
      <c r="A162" s="2">
        <v>45667</v>
      </c>
      <c r="B162" s="1" t="s">
        <v>7</v>
      </c>
      <c r="C162" s="1" t="s">
        <v>8</v>
      </c>
      <c r="D162" s="1" t="s">
        <v>14</v>
      </c>
      <c r="E162" s="1">
        <v>25</v>
      </c>
      <c r="F162" s="1">
        <v>139473</v>
      </c>
      <c r="G162" s="1">
        <v>3486825</v>
      </c>
    </row>
    <row r="163" spans="1:7" ht="12.5" x14ac:dyDescent="0.25">
      <c r="A163" s="2">
        <v>45667</v>
      </c>
      <c r="B163" s="1" t="s">
        <v>7</v>
      </c>
      <c r="C163" s="1" t="s">
        <v>24</v>
      </c>
      <c r="D163" s="1" t="s">
        <v>17</v>
      </c>
      <c r="E163" s="1">
        <v>109</v>
      </c>
      <c r="F163" s="1">
        <v>178964</v>
      </c>
      <c r="G163" s="1">
        <v>19507076</v>
      </c>
    </row>
    <row r="164" spans="1:7" ht="12.5" x14ac:dyDescent="0.25">
      <c r="A164" s="2">
        <v>45668</v>
      </c>
      <c r="B164" s="1" t="s">
        <v>7</v>
      </c>
      <c r="C164" s="1" t="s">
        <v>16</v>
      </c>
      <c r="D164" s="1" t="s">
        <v>12</v>
      </c>
      <c r="E164" s="1">
        <v>65</v>
      </c>
      <c r="F164" s="1">
        <v>122816</v>
      </c>
      <c r="G164" s="1">
        <v>7983040</v>
      </c>
    </row>
    <row r="165" spans="1:7" ht="12.5" x14ac:dyDescent="0.25">
      <c r="A165" s="2">
        <v>45668</v>
      </c>
      <c r="B165" s="1" t="s">
        <v>7</v>
      </c>
      <c r="C165" s="1" t="s">
        <v>24</v>
      </c>
      <c r="D165" s="1" t="s">
        <v>17</v>
      </c>
      <c r="E165" s="1">
        <v>63</v>
      </c>
      <c r="F165" s="1">
        <v>279114</v>
      </c>
      <c r="G165" s="1">
        <v>17584182</v>
      </c>
    </row>
    <row r="166" spans="1:7" ht="12.5" x14ac:dyDescent="0.25">
      <c r="A166" s="2">
        <v>45668</v>
      </c>
      <c r="B166" s="1" t="s">
        <v>7</v>
      </c>
      <c r="C166" s="1" t="s">
        <v>11</v>
      </c>
      <c r="D166" s="1" t="s">
        <v>17</v>
      </c>
      <c r="E166" s="1">
        <v>33</v>
      </c>
      <c r="F166" s="1">
        <v>115570</v>
      </c>
      <c r="G166" s="1">
        <v>3813810</v>
      </c>
    </row>
    <row r="167" spans="1:7" ht="12.5" x14ac:dyDescent="0.25">
      <c r="A167" s="2">
        <v>45668</v>
      </c>
      <c r="B167" s="1" t="s">
        <v>7</v>
      </c>
      <c r="C167" s="1" t="s">
        <v>11</v>
      </c>
      <c r="D167" s="1" t="s">
        <v>12</v>
      </c>
      <c r="E167" s="1">
        <v>112</v>
      </c>
      <c r="F167" s="1">
        <v>284907</v>
      </c>
      <c r="G167" s="1">
        <v>31909584</v>
      </c>
    </row>
    <row r="168" spans="1:7" ht="12.5" x14ac:dyDescent="0.25">
      <c r="A168" s="2">
        <v>45668</v>
      </c>
      <c r="B168" s="1" t="s">
        <v>7</v>
      </c>
      <c r="C168" s="1" t="s">
        <v>8</v>
      </c>
      <c r="D168" s="1" t="s">
        <v>12</v>
      </c>
      <c r="E168" s="1">
        <v>5</v>
      </c>
      <c r="F168" s="1">
        <v>245365</v>
      </c>
      <c r="G168" s="1">
        <v>1226825</v>
      </c>
    </row>
    <row r="169" spans="1:7" ht="12.5" x14ac:dyDescent="0.25">
      <c r="A169" s="2">
        <v>45668</v>
      </c>
      <c r="B169" s="1" t="s">
        <v>7</v>
      </c>
      <c r="C169" s="1" t="s">
        <v>8</v>
      </c>
      <c r="D169" s="1" t="s">
        <v>20</v>
      </c>
      <c r="E169" s="1">
        <v>101</v>
      </c>
      <c r="F169" s="1">
        <v>210244</v>
      </c>
      <c r="G169" s="1">
        <v>21234644</v>
      </c>
    </row>
    <row r="170" spans="1:7" ht="12.5" x14ac:dyDescent="0.25">
      <c r="A170" s="2">
        <v>45668</v>
      </c>
      <c r="B170" s="1" t="s">
        <v>7</v>
      </c>
      <c r="C170" s="1" t="s">
        <v>24</v>
      </c>
      <c r="D170" s="1" t="s">
        <v>14</v>
      </c>
      <c r="E170" s="1">
        <v>83</v>
      </c>
      <c r="F170" s="1">
        <v>154528</v>
      </c>
      <c r="G170" s="1">
        <v>12825824</v>
      </c>
    </row>
    <row r="171" spans="1:7" ht="12.5" x14ac:dyDescent="0.25">
      <c r="A171" s="2">
        <v>45668</v>
      </c>
      <c r="B171" s="1" t="s">
        <v>7</v>
      </c>
      <c r="C171" s="1" t="s">
        <v>8</v>
      </c>
      <c r="D171" s="1" t="s">
        <v>18</v>
      </c>
      <c r="E171" s="1">
        <v>110</v>
      </c>
      <c r="F171" s="1">
        <v>326076</v>
      </c>
      <c r="G171" s="1">
        <v>35868360</v>
      </c>
    </row>
    <row r="172" spans="1:7" ht="12.5" x14ac:dyDescent="0.25">
      <c r="A172" s="2">
        <v>45668</v>
      </c>
      <c r="B172" s="1" t="s">
        <v>7</v>
      </c>
      <c r="C172" s="1" t="s">
        <v>16</v>
      </c>
      <c r="D172" s="1" t="s">
        <v>20</v>
      </c>
      <c r="E172" s="1">
        <v>65</v>
      </c>
      <c r="F172" s="1">
        <v>309888</v>
      </c>
      <c r="G172" s="1">
        <v>20142720</v>
      </c>
    </row>
    <row r="173" spans="1:7" ht="12.5" x14ac:dyDescent="0.25">
      <c r="A173" s="2">
        <v>45668</v>
      </c>
      <c r="B173" s="1" t="s">
        <v>7</v>
      </c>
      <c r="C173" s="1" t="s">
        <v>8</v>
      </c>
      <c r="D173" s="1" t="s">
        <v>20</v>
      </c>
      <c r="E173" s="1">
        <v>95</v>
      </c>
      <c r="F173" s="1">
        <v>148311</v>
      </c>
      <c r="G173" s="1">
        <v>14089545</v>
      </c>
    </row>
    <row r="174" spans="1:7" ht="12.5" x14ac:dyDescent="0.25">
      <c r="A174" s="2">
        <v>45668</v>
      </c>
      <c r="B174" s="1" t="s">
        <v>7</v>
      </c>
      <c r="C174" s="1" t="s">
        <v>24</v>
      </c>
      <c r="D174" s="1" t="s">
        <v>9</v>
      </c>
      <c r="E174" s="1">
        <v>34</v>
      </c>
      <c r="F174" s="1">
        <v>446341</v>
      </c>
      <c r="G174" s="1">
        <v>15175594</v>
      </c>
    </row>
    <row r="175" spans="1:7" ht="12.5" x14ac:dyDescent="0.25">
      <c r="A175" s="2">
        <v>45668</v>
      </c>
      <c r="B175" s="1" t="s">
        <v>7</v>
      </c>
      <c r="C175" s="1" t="s">
        <v>24</v>
      </c>
      <c r="D175" s="1" t="s">
        <v>9</v>
      </c>
      <c r="E175" s="1">
        <v>12</v>
      </c>
      <c r="F175" s="1">
        <v>135917</v>
      </c>
      <c r="G175" s="1">
        <v>1631004</v>
      </c>
    </row>
    <row r="176" spans="1:7" ht="12.5" x14ac:dyDescent="0.25">
      <c r="A176" s="2">
        <v>45669</v>
      </c>
      <c r="B176" s="1" t="s">
        <v>7</v>
      </c>
      <c r="C176" s="1" t="s">
        <v>8</v>
      </c>
      <c r="D176" s="1" t="s">
        <v>12</v>
      </c>
      <c r="E176" s="1">
        <v>17</v>
      </c>
      <c r="F176" s="1">
        <v>291342</v>
      </c>
      <c r="G176" s="1">
        <v>4952814</v>
      </c>
    </row>
    <row r="177" spans="1:7" ht="12.5" x14ac:dyDescent="0.25">
      <c r="A177" s="2">
        <v>45669</v>
      </c>
      <c r="B177" s="1" t="s">
        <v>7</v>
      </c>
      <c r="C177" s="1" t="s">
        <v>11</v>
      </c>
      <c r="D177" s="1" t="s">
        <v>14</v>
      </c>
      <c r="E177" s="1">
        <v>14</v>
      </c>
      <c r="F177" s="1">
        <v>495450</v>
      </c>
      <c r="G177" s="1">
        <v>6936300</v>
      </c>
    </row>
    <row r="178" spans="1:7" ht="12.5" x14ac:dyDescent="0.25">
      <c r="A178" s="2">
        <v>45669</v>
      </c>
      <c r="B178" s="1" t="s">
        <v>7</v>
      </c>
      <c r="C178" s="1" t="s">
        <v>8</v>
      </c>
      <c r="D178" s="1" t="s">
        <v>20</v>
      </c>
      <c r="E178" s="1">
        <v>98</v>
      </c>
      <c r="F178" s="1">
        <v>16949</v>
      </c>
      <c r="G178" s="1">
        <v>1661002</v>
      </c>
    </row>
    <row r="179" spans="1:7" ht="12.5" x14ac:dyDescent="0.25">
      <c r="A179" s="2">
        <v>45669</v>
      </c>
      <c r="B179" s="1" t="s">
        <v>7</v>
      </c>
      <c r="C179" s="1" t="s">
        <v>24</v>
      </c>
      <c r="D179" s="1" t="s">
        <v>18</v>
      </c>
      <c r="E179" s="1">
        <v>30</v>
      </c>
      <c r="F179" s="1">
        <v>465102</v>
      </c>
      <c r="G179" s="1">
        <v>13953060</v>
      </c>
    </row>
    <row r="180" spans="1:7" ht="12.5" x14ac:dyDescent="0.25">
      <c r="A180" s="2">
        <v>45669</v>
      </c>
      <c r="B180" s="1" t="s">
        <v>7</v>
      </c>
      <c r="C180" s="1" t="s">
        <v>8</v>
      </c>
      <c r="D180" s="1" t="s">
        <v>14</v>
      </c>
      <c r="E180" s="1">
        <v>38</v>
      </c>
      <c r="F180" s="1">
        <v>314462</v>
      </c>
      <c r="G180" s="1">
        <v>11949556</v>
      </c>
    </row>
    <row r="181" spans="1:7" ht="12.5" x14ac:dyDescent="0.25">
      <c r="A181" s="2">
        <v>45669</v>
      </c>
      <c r="B181" s="1" t="s">
        <v>7</v>
      </c>
      <c r="C181" s="1" t="s">
        <v>8</v>
      </c>
      <c r="D181" s="1" t="s">
        <v>12</v>
      </c>
      <c r="E181" s="1">
        <v>106</v>
      </c>
      <c r="F181" s="1">
        <v>263490</v>
      </c>
      <c r="G181" s="1">
        <v>27929940</v>
      </c>
    </row>
    <row r="182" spans="1:7" ht="12.5" x14ac:dyDescent="0.25">
      <c r="A182" s="2">
        <v>45669</v>
      </c>
      <c r="B182" s="1" t="s">
        <v>7</v>
      </c>
      <c r="C182" s="1" t="s">
        <v>11</v>
      </c>
      <c r="D182" s="1" t="s">
        <v>17</v>
      </c>
      <c r="E182" s="1">
        <v>4</v>
      </c>
      <c r="F182" s="1">
        <v>518041</v>
      </c>
      <c r="G182" s="1">
        <v>2072164</v>
      </c>
    </row>
    <row r="183" spans="1:7" ht="12.5" x14ac:dyDescent="0.25">
      <c r="A183" s="2">
        <v>45669</v>
      </c>
      <c r="B183" s="1" t="s">
        <v>7</v>
      </c>
      <c r="C183" s="1" t="s">
        <v>24</v>
      </c>
      <c r="D183" s="1" t="s">
        <v>12</v>
      </c>
      <c r="E183" s="1">
        <v>17</v>
      </c>
      <c r="F183" s="1">
        <v>327267</v>
      </c>
      <c r="G183" s="1">
        <v>5563539</v>
      </c>
    </row>
    <row r="184" spans="1:7" ht="12.5" x14ac:dyDescent="0.25">
      <c r="A184" s="2">
        <v>45669</v>
      </c>
      <c r="B184" s="1" t="s">
        <v>7</v>
      </c>
      <c r="C184" s="1" t="s">
        <v>24</v>
      </c>
      <c r="D184" s="1" t="s">
        <v>14</v>
      </c>
      <c r="E184" s="1">
        <v>6</v>
      </c>
      <c r="F184" s="1">
        <v>15569</v>
      </c>
      <c r="G184" s="1">
        <v>93414</v>
      </c>
    </row>
    <row r="185" spans="1:7" ht="12.5" x14ac:dyDescent="0.25">
      <c r="A185" s="2">
        <v>45669</v>
      </c>
      <c r="B185" s="1" t="s">
        <v>7</v>
      </c>
      <c r="C185" s="1" t="s">
        <v>22</v>
      </c>
      <c r="D185" s="1" t="s">
        <v>17</v>
      </c>
      <c r="E185" s="1">
        <v>43</v>
      </c>
      <c r="F185" s="1">
        <v>55002</v>
      </c>
      <c r="G185" s="1">
        <v>2365086</v>
      </c>
    </row>
    <row r="186" spans="1:7" ht="12.5" x14ac:dyDescent="0.25">
      <c r="A186" s="2">
        <v>45669</v>
      </c>
      <c r="B186" s="1" t="s">
        <v>7</v>
      </c>
      <c r="C186" s="1" t="s">
        <v>8</v>
      </c>
      <c r="D186" s="1" t="s">
        <v>9</v>
      </c>
      <c r="E186" s="1">
        <v>55</v>
      </c>
      <c r="F186" s="1">
        <v>221791</v>
      </c>
      <c r="G186" s="1">
        <v>12198505</v>
      </c>
    </row>
    <row r="187" spans="1:7" ht="12.5" x14ac:dyDescent="0.25">
      <c r="A187" s="2">
        <v>45669</v>
      </c>
      <c r="B187" s="1" t="s">
        <v>7</v>
      </c>
      <c r="C187" s="1" t="s">
        <v>16</v>
      </c>
      <c r="D187" s="1" t="s">
        <v>18</v>
      </c>
      <c r="E187" s="1">
        <v>16</v>
      </c>
      <c r="F187" s="1">
        <v>34071</v>
      </c>
      <c r="G187" s="1">
        <v>545136</v>
      </c>
    </row>
    <row r="188" spans="1:7" ht="12.5" x14ac:dyDescent="0.25">
      <c r="A188" s="2">
        <v>45669</v>
      </c>
      <c r="B188" s="1" t="s">
        <v>7</v>
      </c>
      <c r="C188" s="1" t="s">
        <v>8</v>
      </c>
      <c r="D188" s="1" t="s">
        <v>9</v>
      </c>
      <c r="E188" s="1">
        <v>67</v>
      </c>
      <c r="F188" s="1">
        <v>224879</v>
      </c>
      <c r="G188" s="1">
        <v>15066893</v>
      </c>
    </row>
    <row r="189" spans="1:7" ht="12.5" x14ac:dyDescent="0.25">
      <c r="A189" s="2">
        <v>45669</v>
      </c>
      <c r="B189" s="1" t="s">
        <v>7</v>
      </c>
      <c r="C189" s="1" t="s">
        <v>11</v>
      </c>
      <c r="D189" s="1" t="s">
        <v>12</v>
      </c>
      <c r="E189" s="1">
        <v>32</v>
      </c>
      <c r="F189" s="1">
        <v>427170</v>
      </c>
      <c r="G189" s="1">
        <v>13669440</v>
      </c>
    </row>
    <row r="190" spans="1:7" ht="12.5" x14ac:dyDescent="0.25">
      <c r="A190" s="2">
        <v>45669</v>
      </c>
      <c r="B190" s="1" t="s">
        <v>7</v>
      </c>
      <c r="C190" s="1" t="s">
        <v>24</v>
      </c>
      <c r="D190" s="1" t="s">
        <v>12</v>
      </c>
      <c r="E190" s="1">
        <v>92</v>
      </c>
      <c r="F190" s="1">
        <v>46668</v>
      </c>
      <c r="G190" s="1">
        <v>4293456</v>
      </c>
    </row>
    <row r="191" spans="1:7" ht="12.5" x14ac:dyDescent="0.25">
      <c r="A191" s="2">
        <v>45670</v>
      </c>
      <c r="B191" s="1" t="s">
        <v>7</v>
      </c>
      <c r="C191" s="1" t="s">
        <v>16</v>
      </c>
      <c r="D191" s="1" t="s">
        <v>20</v>
      </c>
      <c r="E191" s="1">
        <v>1</v>
      </c>
      <c r="F191" s="1">
        <v>376824</v>
      </c>
      <c r="G191" s="1">
        <v>376824</v>
      </c>
    </row>
    <row r="192" spans="1:7" ht="12.5" x14ac:dyDescent="0.25">
      <c r="A192" s="2">
        <v>45670</v>
      </c>
      <c r="B192" s="1" t="s">
        <v>7</v>
      </c>
      <c r="C192" s="1" t="s">
        <v>16</v>
      </c>
      <c r="D192" s="1" t="s">
        <v>20</v>
      </c>
      <c r="E192" s="1">
        <v>34</v>
      </c>
      <c r="F192" s="1">
        <v>380608</v>
      </c>
      <c r="G192" s="1">
        <v>12940672</v>
      </c>
    </row>
    <row r="193" spans="1:7" ht="12.5" x14ac:dyDescent="0.25">
      <c r="A193" s="2">
        <v>45670</v>
      </c>
      <c r="B193" s="1" t="s">
        <v>7</v>
      </c>
      <c r="C193" s="1" t="s">
        <v>11</v>
      </c>
      <c r="D193" s="1" t="s">
        <v>17</v>
      </c>
      <c r="E193" s="1">
        <v>27</v>
      </c>
      <c r="F193" s="1">
        <v>33624</v>
      </c>
      <c r="G193" s="1">
        <v>907848</v>
      </c>
    </row>
    <row r="194" spans="1:7" ht="12.5" x14ac:dyDescent="0.25">
      <c r="A194" s="2">
        <v>45670</v>
      </c>
      <c r="B194" s="1" t="s">
        <v>7</v>
      </c>
      <c r="C194" s="1" t="s">
        <v>8</v>
      </c>
      <c r="D194" s="1" t="s">
        <v>12</v>
      </c>
      <c r="E194" s="1">
        <v>86</v>
      </c>
      <c r="F194" s="1">
        <v>196717</v>
      </c>
      <c r="G194" s="1">
        <v>16917662</v>
      </c>
    </row>
    <row r="195" spans="1:7" ht="12.5" x14ac:dyDescent="0.25">
      <c r="A195" s="2">
        <v>45670</v>
      </c>
      <c r="B195" s="1" t="s">
        <v>7</v>
      </c>
      <c r="C195" s="1" t="s">
        <v>8</v>
      </c>
      <c r="D195" s="1" t="s">
        <v>17</v>
      </c>
      <c r="E195" s="1">
        <v>26</v>
      </c>
      <c r="F195" s="1">
        <v>220176</v>
      </c>
      <c r="G195" s="1">
        <v>5724576</v>
      </c>
    </row>
    <row r="196" spans="1:7" ht="12.5" x14ac:dyDescent="0.25">
      <c r="A196" s="2">
        <v>45670</v>
      </c>
      <c r="B196" s="1" t="s">
        <v>7</v>
      </c>
      <c r="C196" s="1" t="s">
        <v>22</v>
      </c>
      <c r="D196" s="1" t="s">
        <v>14</v>
      </c>
      <c r="E196" s="1">
        <v>52</v>
      </c>
      <c r="F196" s="1">
        <v>528862</v>
      </c>
      <c r="G196" s="1">
        <v>27500824</v>
      </c>
    </row>
    <row r="197" spans="1:7" ht="12.5" x14ac:dyDescent="0.25">
      <c r="A197" s="2">
        <v>45670</v>
      </c>
      <c r="B197" s="1" t="s">
        <v>7</v>
      </c>
      <c r="C197" s="1" t="s">
        <v>16</v>
      </c>
      <c r="D197" s="1" t="s">
        <v>20</v>
      </c>
      <c r="E197" s="1">
        <v>90</v>
      </c>
      <c r="F197" s="1">
        <v>83686</v>
      </c>
      <c r="G197" s="1">
        <v>7531740</v>
      </c>
    </row>
    <row r="198" spans="1:7" ht="12.5" x14ac:dyDescent="0.25">
      <c r="A198" s="2">
        <v>45670</v>
      </c>
      <c r="B198" s="1" t="s">
        <v>7</v>
      </c>
      <c r="C198" s="1" t="s">
        <v>11</v>
      </c>
      <c r="D198" s="1" t="s">
        <v>9</v>
      </c>
      <c r="E198" s="1">
        <v>26</v>
      </c>
      <c r="F198" s="1">
        <v>276765</v>
      </c>
      <c r="G198" s="1">
        <v>7195890</v>
      </c>
    </row>
    <row r="199" spans="1:7" ht="12.5" x14ac:dyDescent="0.25">
      <c r="A199" s="2">
        <v>45670</v>
      </c>
      <c r="B199" s="1" t="s">
        <v>7</v>
      </c>
      <c r="C199" s="1" t="s">
        <v>8</v>
      </c>
      <c r="D199" s="1" t="s">
        <v>18</v>
      </c>
      <c r="E199" s="1">
        <v>3</v>
      </c>
      <c r="F199" s="1">
        <v>458874</v>
      </c>
      <c r="G199" s="1">
        <v>1376622</v>
      </c>
    </row>
    <row r="200" spans="1:7" ht="12.5" x14ac:dyDescent="0.25">
      <c r="A200" s="2">
        <v>45670</v>
      </c>
      <c r="B200" s="1" t="s">
        <v>7</v>
      </c>
      <c r="C200" s="1" t="s">
        <v>11</v>
      </c>
      <c r="D200" s="1" t="s">
        <v>12</v>
      </c>
      <c r="E200" s="1">
        <v>18</v>
      </c>
      <c r="F200" s="1">
        <v>176926</v>
      </c>
      <c r="G200" s="1">
        <v>3184668</v>
      </c>
    </row>
    <row r="201" spans="1:7" ht="12.5" x14ac:dyDescent="0.25">
      <c r="A201" s="2">
        <v>45670</v>
      </c>
      <c r="B201" s="1" t="s">
        <v>7</v>
      </c>
      <c r="C201" s="1" t="s">
        <v>8</v>
      </c>
      <c r="D201" s="1" t="s">
        <v>17</v>
      </c>
      <c r="E201" s="1">
        <v>74</v>
      </c>
      <c r="F201" s="1">
        <v>11062</v>
      </c>
      <c r="G201" s="1">
        <v>818588</v>
      </c>
    </row>
    <row r="202" spans="1:7" ht="12.5" x14ac:dyDescent="0.25">
      <c r="A202" s="2">
        <v>45670</v>
      </c>
      <c r="B202" s="1" t="s">
        <v>7</v>
      </c>
      <c r="C202" s="1" t="s">
        <v>8</v>
      </c>
      <c r="D202" s="1" t="s">
        <v>18</v>
      </c>
      <c r="E202" s="1">
        <v>86</v>
      </c>
      <c r="F202" s="1">
        <v>460009</v>
      </c>
      <c r="G202" s="1">
        <v>39560774</v>
      </c>
    </row>
    <row r="203" spans="1:7" ht="12.5" x14ac:dyDescent="0.25">
      <c r="A203" s="2">
        <v>45670</v>
      </c>
      <c r="B203" s="1" t="s">
        <v>7</v>
      </c>
      <c r="C203" s="1" t="s">
        <v>8</v>
      </c>
      <c r="D203" s="1" t="s">
        <v>18</v>
      </c>
      <c r="E203" s="1">
        <v>17</v>
      </c>
      <c r="F203" s="1">
        <v>381923</v>
      </c>
      <c r="G203" s="1">
        <v>6492691</v>
      </c>
    </row>
    <row r="204" spans="1:7" ht="12.5" x14ac:dyDescent="0.25">
      <c r="A204" s="2">
        <v>45670</v>
      </c>
      <c r="B204" s="1" t="s">
        <v>7</v>
      </c>
      <c r="C204" s="1" t="s">
        <v>24</v>
      </c>
      <c r="D204" s="1" t="s">
        <v>18</v>
      </c>
      <c r="E204" s="1">
        <v>67</v>
      </c>
      <c r="F204" s="1">
        <v>396193</v>
      </c>
      <c r="G204" s="1">
        <v>26544931</v>
      </c>
    </row>
    <row r="205" spans="1:7" ht="12.5" x14ac:dyDescent="0.25">
      <c r="A205" s="2">
        <v>45670</v>
      </c>
      <c r="B205" s="1" t="s">
        <v>7</v>
      </c>
      <c r="C205" s="1" t="s">
        <v>8</v>
      </c>
      <c r="D205" s="1" t="s">
        <v>17</v>
      </c>
      <c r="E205" s="1">
        <v>86</v>
      </c>
      <c r="F205" s="1">
        <v>547198</v>
      </c>
      <c r="G205" s="1">
        <v>47059028</v>
      </c>
    </row>
    <row r="206" spans="1:7" ht="12.5" x14ac:dyDescent="0.25">
      <c r="A206" s="2">
        <v>45670</v>
      </c>
      <c r="B206" s="1" t="s">
        <v>7</v>
      </c>
      <c r="C206" s="1" t="s">
        <v>8</v>
      </c>
      <c r="D206" s="1" t="s">
        <v>12</v>
      </c>
      <c r="E206" s="1">
        <v>83</v>
      </c>
      <c r="F206" s="1">
        <v>484665</v>
      </c>
      <c r="G206" s="1">
        <v>40227195</v>
      </c>
    </row>
    <row r="207" spans="1:7" ht="12.5" x14ac:dyDescent="0.25">
      <c r="A207" s="2">
        <v>45670</v>
      </c>
      <c r="B207" s="1" t="s">
        <v>7</v>
      </c>
      <c r="C207" s="1" t="s">
        <v>16</v>
      </c>
      <c r="D207" s="1" t="s">
        <v>17</v>
      </c>
      <c r="E207" s="1">
        <v>52</v>
      </c>
      <c r="F207" s="1">
        <v>122581</v>
      </c>
      <c r="G207" s="1">
        <v>6374212</v>
      </c>
    </row>
    <row r="208" spans="1:7" ht="12.5" x14ac:dyDescent="0.25">
      <c r="A208" s="2">
        <v>45670</v>
      </c>
      <c r="B208" s="1" t="s">
        <v>7</v>
      </c>
      <c r="C208" s="1" t="s">
        <v>8</v>
      </c>
      <c r="D208" s="1" t="s">
        <v>18</v>
      </c>
      <c r="E208" s="1">
        <v>53</v>
      </c>
      <c r="F208" s="1">
        <v>126421</v>
      </c>
      <c r="G208" s="1">
        <v>6700313</v>
      </c>
    </row>
    <row r="209" spans="1:7" ht="12.5" x14ac:dyDescent="0.25">
      <c r="A209" s="2">
        <v>45670</v>
      </c>
      <c r="B209" s="1" t="s">
        <v>7</v>
      </c>
      <c r="C209" s="1" t="s">
        <v>16</v>
      </c>
      <c r="D209" s="1" t="s">
        <v>17</v>
      </c>
      <c r="E209" s="1">
        <v>75</v>
      </c>
      <c r="F209" s="1">
        <v>154990</v>
      </c>
      <c r="G209" s="1">
        <v>11624250</v>
      </c>
    </row>
    <row r="210" spans="1:7" ht="12.5" x14ac:dyDescent="0.25">
      <c r="A210" s="2">
        <v>45671</v>
      </c>
      <c r="B210" s="1" t="s">
        <v>7</v>
      </c>
      <c r="C210" s="1" t="s">
        <v>8</v>
      </c>
      <c r="D210" s="1" t="s">
        <v>12</v>
      </c>
      <c r="E210" s="1">
        <v>3</v>
      </c>
      <c r="F210" s="1">
        <v>428034</v>
      </c>
      <c r="G210" s="1">
        <v>1284102</v>
      </c>
    </row>
    <row r="211" spans="1:7" ht="12.5" x14ac:dyDescent="0.25">
      <c r="A211" s="2">
        <v>45671</v>
      </c>
      <c r="B211" s="1" t="s">
        <v>7</v>
      </c>
      <c r="C211" s="1" t="s">
        <v>8</v>
      </c>
      <c r="D211" s="1" t="s">
        <v>9</v>
      </c>
      <c r="E211" s="1">
        <v>24</v>
      </c>
      <c r="F211" s="1">
        <v>313571</v>
      </c>
      <c r="G211" s="1">
        <v>7525704</v>
      </c>
    </row>
    <row r="212" spans="1:7" ht="12.5" x14ac:dyDescent="0.25">
      <c r="A212" s="2">
        <v>45671</v>
      </c>
      <c r="B212" s="1" t="s">
        <v>7</v>
      </c>
      <c r="C212" s="1" t="s">
        <v>8</v>
      </c>
      <c r="D212" s="1" t="s">
        <v>14</v>
      </c>
      <c r="E212" s="1">
        <v>79</v>
      </c>
      <c r="F212" s="1">
        <v>397952</v>
      </c>
      <c r="G212" s="1">
        <v>31438208</v>
      </c>
    </row>
    <row r="213" spans="1:7" ht="12.5" x14ac:dyDescent="0.25">
      <c r="A213" s="2">
        <v>45671</v>
      </c>
      <c r="B213" s="1" t="s">
        <v>15</v>
      </c>
      <c r="C213" s="1" t="s">
        <v>22</v>
      </c>
      <c r="D213" s="1" t="s">
        <v>20</v>
      </c>
      <c r="E213" s="1">
        <v>62</v>
      </c>
      <c r="F213" s="1">
        <v>535134</v>
      </c>
      <c r="G213" s="1">
        <v>33178308</v>
      </c>
    </row>
    <row r="214" spans="1:7" ht="12.5" x14ac:dyDescent="0.25">
      <c r="A214" s="2">
        <v>45671</v>
      </c>
      <c r="B214" s="1" t="s">
        <v>15</v>
      </c>
      <c r="C214" s="1" t="s">
        <v>22</v>
      </c>
      <c r="D214" s="1" t="s">
        <v>14</v>
      </c>
      <c r="E214" s="1">
        <v>45</v>
      </c>
      <c r="F214" s="1">
        <v>147541</v>
      </c>
      <c r="G214" s="1">
        <v>6639345</v>
      </c>
    </row>
    <row r="215" spans="1:7" ht="12.5" x14ac:dyDescent="0.25">
      <c r="A215" s="2">
        <v>45671</v>
      </c>
      <c r="B215" s="1" t="s">
        <v>15</v>
      </c>
      <c r="C215" s="1" t="s">
        <v>8</v>
      </c>
      <c r="D215" s="1" t="s">
        <v>18</v>
      </c>
      <c r="E215" s="1">
        <v>19</v>
      </c>
      <c r="F215" s="1">
        <v>199139</v>
      </c>
      <c r="G215" s="1">
        <v>3783641</v>
      </c>
    </row>
    <row r="216" spans="1:7" ht="12.5" x14ac:dyDescent="0.25">
      <c r="A216" s="2">
        <v>45671</v>
      </c>
      <c r="B216" s="1" t="s">
        <v>15</v>
      </c>
      <c r="C216" s="1" t="s">
        <v>8</v>
      </c>
      <c r="D216" s="1" t="s">
        <v>20</v>
      </c>
      <c r="E216" s="1">
        <v>12</v>
      </c>
      <c r="F216" s="1">
        <v>399678</v>
      </c>
      <c r="G216" s="1">
        <v>4796136</v>
      </c>
    </row>
    <row r="217" spans="1:7" ht="12.5" x14ac:dyDescent="0.25">
      <c r="A217" s="2">
        <v>45671</v>
      </c>
      <c r="B217" s="1" t="s">
        <v>15</v>
      </c>
      <c r="C217" s="1" t="s">
        <v>16</v>
      </c>
      <c r="D217" s="1" t="s">
        <v>18</v>
      </c>
      <c r="E217" s="1">
        <v>64</v>
      </c>
      <c r="F217" s="1">
        <v>11917</v>
      </c>
      <c r="G217" s="1">
        <v>762688</v>
      </c>
    </row>
    <row r="218" spans="1:7" ht="12.5" x14ac:dyDescent="0.25">
      <c r="A218" s="2">
        <v>45671</v>
      </c>
      <c r="B218" s="1" t="s">
        <v>15</v>
      </c>
      <c r="C218" s="1" t="s">
        <v>11</v>
      </c>
      <c r="D218" s="1" t="s">
        <v>20</v>
      </c>
      <c r="E218" s="1">
        <v>107</v>
      </c>
      <c r="F218" s="1">
        <v>292272</v>
      </c>
      <c r="G218" s="1">
        <v>31273104</v>
      </c>
    </row>
    <row r="219" spans="1:7" ht="12.5" x14ac:dyDescent="0.25">
      <c r="A219" s="2">
        <v>45671</v>
      </c>
      <c r="B219" s="1" t="s">
        <v>15</v>
      </c>
      <c r="C219" s="1" t="s">
        <v>24</v>
      </c>
      <c r="D219" s="1" t="s">
        <v>20</v>
      </c>
      <c r="E219" s="1">
        <v>5</v>
      </c>
      <c r="F219" s="1">
        <v>413081</v>
      </c>
      <c r="G219" s="1">
        <v>2065405</v>
      </c>
    </row>
    <row r="220" spans="1:7" ht="12.5" x14ac:dyDescent="0.25">
      <c r="A220" s="2">
        <v>45671</v>
      </c>
      <c r="B220" s="1" t="s">
        <v>15</v>
      </c>
      <c r="C220" s="1" t="s">
        <v>11</v>
      </c>
      <c r="D220" s="1" t="s">
        <v>17</v>
      </c>
      <c r="E220" s="1">
        <v>40</v>
      </c>
      <c r="F220" s="1">
        <v>267665</v>
      </c>
      <c r="G220" s="1">
        <v>10706600</v>
      </c>
    </row>
    <row r="221" spans="1:7" ht="12.5" x14ac:dyDescent="0.25">
      <c r="A221" s="2">
        <v>45672</v>
      </c>
      <c r="B221" s="1" t="s">
        <v>15</v>
      </c>
      <c r="C221" s="1" t="s">
        <v>8</v>
      </c>
      <c r="D221" s="1" t="s">
        <v>17</v>
      </c>
      <c r="E221" s="1">
        <v>101</v>
      </c>
      <c r="F221" s="1">
        <v>118872</v>
      </c>
      <c r="G221" s="1">
        <v>12006072</v>
      </c>
    </row>
    <row r="222" spans="1:7" ht="12.5" x14ac:dyDescent="0.25">
      <c r="A222" s="2">
        <v>45672</v>
      </c>
      <c r="B222" s="1" t="s">
        <v>15</v>
      </c>
      <c r="C222" s="1" t="s">
        <v>22</v>
      </c>
      <c r="D222" s="1" t="s">
        <v>17</v>
      </c>
      <c r="E222" s="1">
        <v>15</v>
      </c>
      <c r="F222" s="1">
        <v>439474</v>
      </c>
      <c r="G222" s="1">
        <v>6592110</v>
      </c>
    </row>
    <row r="223" spans="1:7" ht="12.5" x14ac:dyDescent="0.25">
      <c r="A223" s="2">
        <v>45672</v>
      </c>
      <c r="B223" s="1" t="s">
        <v>15</v>
      </c>
      <c r="C223" s="1" t="s">
        <v>11</v>
      </c>
      <c r="D223" s="1" t="s">
        <v>20</v>
      </c>
      <c r="E223" s="1">
        <v>62</v>
      </c>
      <c r="F223" s="1">
        <v>546507</v>
      </c>
      <c r="G223" s="1">
        <v>33883434</v>
      </c>
    </row>
    <row r="224" spans="1:7" ht="12.5" x14ac:dyDescent="0.25">
      <c r="A224" s="2">
        <v>45672</v>
      </c>
      <c r="B224" s="1" t="s">
        <v>15</v>
      </c>
      <c r="C224" s="1" t="s">
        <v>16</v>
      </c>
      <c r="D224" s="1" t="s">
        <v>18</v>
      </c>
      <c r="E224" s="1">
        <v>117</v>
      </c>
      <c r="F224" s="1">
        <v>474008</v>
      </c>
      <c r="G224" s="1">
        <v>55458936</v>
      </c>
    </row>
    <row r="225" spans="1:7" ht="12.5" x14ac:dyDescent="0.25">
      <c r="A225" s="2">
        <v>45672</v>
      </c>
      <c r="B225" s="1" t="s">
        <v>15</v>
      </c>
      <c r="C225" s="1" t="s">
        <v>22</v>
      </c>
      <c r="D225" s="1" t="s">
        <v>12</v>
      </c>
      <c r="E225" s="1">
        <v>35</v>
      </c>
      <c r="F225" s="1">
        <v>53925</v>
      </c>
      <c r="G225" s="1">
        <v>1887375</v>
      </c>
    </row>
    <row r="226" spans="1:7" ht="12.5" x14ac:dyDescent="0.25">
      <c r="A226" s="2">
        <v>45672</v>
      </c>
      <c r="B226" s="1" t="s">
        <v>15</v>
      </c>
      <c r="C226" s="1" t="s">
        <v>22</v>
      </c>
      <c r="D226" s="1" t="s">
        <v>18</v>
      </c>
      <c r="E226" s="1">
        <v>105</v>
      </c>
      <c r="F226" s="1">
        <v>68596</v>
      </c>
      <c r="G226" s="1">
        <v>7202580</v>
      </c>
    </row>
    <row r="227" spans="1:7" ht="12.5" x14ac:dyDescent="0.25">
      <c r="A227" s="2">
        <v>45672</v>
      </c>
      <c r="B227" s="1" t="s">
        <v>15</v>
      </c>
      <c r="C227" s="1" t="s">
        <v>16</v>
      </c>
      <c r="D227" s="1" t="s">
        <v>9</v>
      </c>
      <c r="E227" s="1">
        <v>35</v>
      </c>
      <c r="F227" s="1">
        <v>549812</v>
      </c>
      <c r="G227" s="1">
        <v>19243420</v>
      </c>
    </row>
    <row r="228" spans="1:7" ht="12.5" x14ac:dyDescent="0.25">
      <c r="A228" s="2">
        <v>45672</v>
      </c>
      <c r="B228" s="1" t="s">
        <v>15</v>
      </c>
      <c r="C228" s="1" t="s">
        <v>22</v>
      </c>
      <c r="D228" s="1" t="s">
        <v>18</v>
      </c>
      <c r="E228" s="1">
        <v>78</v>
      </c>
      <c r="F228" s="1">
        <v>509097</v>
      </c>
      <c r="G228" s="1">
        <v>39709566</v>
      </c>
    </row>
    <row r="229" spans="1:7" ht="12.5" x14ac:dyDescent="0.25">
      <c r="A229" s="2">
        <v>45672</v>
      </c>
      <c r="B229" s="1" t="s">
        <v>15</v>
      </c>
      <c r="C229" s="1" t="s">
        <v>8</v>
      </c>
      <c r="D229" s="1" t="s">
        <v>14</v>
      </c>
      <c r="E229" s="1">
        <v>109</v>
      </c>
      <c r="F229" s="1">
        <v>487272</v>
      </c>
      <c r="G229" s="1">
        <v>53112648</v>
      </c>
    </row>
    <row r="230" spans="1:7" ht="12.5" x14ac:dyDescent="0.25">
      <c r="A230" s="2">
        <v>45672</v>
      </c>
      <c r="B230" s="1" t="s">
        <v>15</v>
      </c>
      <c r="C230" s="1" t="s">
        <v>22</v>
      </c>
      <c r="D230" s="1" t="s">
        <v>17</v>
      </c>
      <c r="E230" s="1">
        <v>38</v>
      </c>
      <c r="F230" s="1">
        <v>228134</v>
      </c>
      <c r="G230" s="1">
        <v>8669092</v>
      </c>
    </row>
    <row r="231" spans="1:7" ht="12.5" x14ac:dyDescent="0.25">
      <c r="A231" s="2">
        <v>45672</v>
      </c>
      <c r="B231" s="1" t="s">
        <v>15</v>
      </c>
      <c r="C231" s="1" t="s">
        <v>8</v>
      </c>
      <c r="D231" s="1" t="s">
        <v>20</v>
      </c>
      <c r="E231" s="1">
        <v>17</v>
      </c>
      <c r="F231" s="1">
        <v>545534</v>
      </c>
      <c r="G231" s="1">
        <v>9274078</v>
      </c>
    </row>
    <row r="232" spans="1:7" ht="12.5" x14ac:dyDescent="0.25">
      <c r="A232" s="2">
        <v>45672</v>
      </c>
      <c r="B232" s="1" t="s">
        <v>15</v>
      </c>
      <c r="C232" s="1" t="s">
        <v>16</v>
      </c>
      <c r="D232" s="1" t="s">
        <v>9</v>
      </c>
      <c r="E232" s="1">
        <v>53</v>
      </c>
      <c r="F232" s="1">
        <v>102263</v>
      </c>
      <c r="G232" s="1">
        <v>5419939</v>
      </c>
    </row>
    <row r="233" spans="1:7" ht="12.5" x14ac:dyDescent="0.25">
      <c r="A233" s="2">
        <v>45672</v>
      </c>
      <c r="B233" s="1" t="s">
        <v>15</v>
      </c>
      <c r="C233" s="1" t="s">
        <v>16</v>
      </c>
      <c r="D233" s="1" t="s">
        <v>9</v>
      </c>
      <c r="E233" s="1">
        <v>6</v>
      </c>
      <c r="F233" s="1">
        <v>233810</v>
      </c>
      <c r="G233" s="1">
        <v>1402860</v>
      </c>
    </row>
    <row r="234" spans="1:7" ht="12.5" x14ac:dyDescent="0.25">
      <c r="A234" s="2">
        <v>45672</v>
      </c>
      <c r="B234" s="1" t="s">
        <v>15</v>
      </c>
      <c r="C234" s="1" t="s">
        <v>24</v>
      </c>
      <c r="D234" s="1" t="s">
        <v>12</v>
      </c>
      <c r="E234" s="1">
        <v>64</v>
      </c>
      <c r="F234" s="1">
        <v>353054</v>
      </c>
      <c r="G234" s="1">
        <v>22595456</v>
      </c>
    </row>
    <row r="235" spans="1:7" ht="12.5" x14ac:dyDescent="0.25">
      <c r="A235" s="2">
        <v>45672</v>
      </c>
      <c r="B235" s="1" t="s">
        <v>15</v>
      </c>
      <c r="C235" s="1" t="s">
        <v>8</v>
      </c>
      <c r="D235" s="1" t="s">
        <v>9</v>
      </c>
      <c r="E235" s="1">
        <v>116</v>
      </c>
      <c r="F235" s="1">
        <v>35053</v>
      </c>
      <c r="G235" s="1">
        <v>4066148</v>
      </c>
    </row>
    <row r="236" spans="1:7" ht="12.5" x14ac:dyDescent="0.25">
      <c r="A236" s="2">
        <v>45672</v>
      </c>
      <c r="B236" s="1" t="s">
        <v>15</v>
      </c>
      <c r="C236" s="1" t="s">
        <v>8</v>
      </c>
      <c r="D236" s="1" t="s">
        <v>17</v>
      </c>
      <c r="E236" s="1">
        <v>29</v>
      </c>
      <c r="F236" s="1">
        <v>282933</v>
      </c>
      <c r="G236" s="1">
        <v>8205057</v>
      </c>
    </row>
    <row r="237" spans="1:7" ht="12.5" x14ac:dyDescent="0.25">
      <c r="A237" s="2">
        <v>45672</v>
      </c>
      <c r="B237" s="1" t="s">
        <v>15</v>
      </c>
      <c r="C237" s="1" t="s">
        <v>11</v>
      </c>
      <c r="D237" s="1" t="s">
        <v>17</v>
      </c>
      <c r="E237" s="1">
        <v>101</v>
      </c>
      <c r="F237" s="1">
        <v>42154</v>
      </c>
      <c r="G237" s="1">
        <v>4257554</v>
      </c>
    </row>
    <row r="238" spans="1:7" ht="12.5" x14ac:dyDescent="0.25">
      <c r="A238" s="2">
        <v>45672</v>
      </c>
      <c r="B238" s="1" t="s">
        <v>15</v>
      </c>
      <c r="C238" s="1" t="s">
        <v>16</v>
      </c>
      <c r="D238" s="1" t="s">
        <v>20</v>
      </c>
      <c r="E238" s="1">
        <v>68</v>
      </c>
      <c r="F238" s="1">
        <v>291173</v>
      </c>
      <c r="G238" s="1">
        <v>19799764</v>
      </c>
    </row>
    <row r="239" spans="1:7" ht="12.5" x14ac:dyDescent="0.25">
      <c r="A239" s="2">
        <v>45672</v>
      </c>
      <c r="B239" s="1" t="s">
        <v>15</v>
      </c>
      <c r="C239" s="1" t="s">
        <v>11</v>
      </c>
      <c r="D239" s="1" t="s">
        <v>14</v>
      </c>
      <c r="E239" s="1">
        <v>74</v>
      </c>
      <c r="F239" s="1">
        <v>184944</v>
      </c>
      <c r="G239" s="1">
        <v>13685856</v>
      </c>
    </row>
    <row r="240" spans="1:7" ht="12.5" x14ac:dyDescent="0.25">
      <c r="A240" s="2">
        <v>45672</v>
      </c>
      <c r="B240" s="1" t="s">
        <v>15</v>
      </c>
      <c r="C240" s="1" t="s">
        <v>11</v>
      </c>
      <c r="D240" s="1" t="s">
        <v>18</v>
      </c>
      <c r="E240" s="1">
        <v>31</v>
      </c>
      <c r="F240" s="1">
        <v>81907</v>
      </c>
      <c r="G240" s="1">
        <v>2539117</v>
      </c>
    </row>
    <row r="241" spans="1:7" ht="12.5" x14ac:dyDescent="0.25">
      <c r="A241" s="2">
        <v>45672</v>
      </c>
      <c r="B241" s="1" t="s">
        <v>15</v>
      </c>
      <c r="C241" s="1" t="s">
        <v>8</v>
      </c>
      <c r="D241" s="1" t="s">
        <v>12</v>
      </c>
      <c r="E241" s="1">
        <v>29</v>
      </c>
      <c r="F241" s="1">
        <v>292247</v>
      </c>
      <c r="G241" s="1">
        <v>8475163</v>
      </c>
    </row>
    <row r="242" spans="1:7" ht="12.5" x14ac:dyDescent="0.25">
      <c r="A242" s="2">
        <v>45672</v>
      </c>
      <c r="B242" s="1" t="s">
        <v>15</v>
      </c>
      <c r="C242" s="1" t="s">
        <v>8</v>
      </c>
      <c r="D242" s="1" t="s">
        <v>20</v>
      </c>
      <c r="E242" s="1">
        <v>68</v>
      </c>
      <c r="F242" s="1">
        <v>373339</v>
      </c>
      <c r="G242" s="1">
        <v>25387052</v>
      </c>
    </row>
    <row r="243" spans="1:7" ht="12.5" x14ac:dyDescent="0.25">
      <c r="A243" s="2">
        <v>45673</v>
      </c>
      <c r="B243" s="1" t="s">
        <v>15</v>
      </c>
      <c r="C243" s="1" t="s">
        <v>22</v>
      </c>
      <c r="D243" s="1" t="s">
        <v>18</v>
      </c>
      <c r="E243" s="1">
        <v>95</v>
      </c>
      <c r="F243" s="1">
        <v>242050</v>
      </c>
      <c r="G243" s="1">
        <v>22994750</v>
      </c>
    </row>
    <row r="244" spans="1:7" ht="12.5" x14ac:dyDescent="0.25">
      <c r="A244" s="2">
        <v>45673</v>
      </c>
      <c r="B244" s="1" t="s">
        <v>15</v>
      </c>
      <c r="C244" s="1" t="s">
        <v>8</v>
      </c>
      <c r="D244" s="1" t="s">
        <v>12</v>
      </c>
      <c r="E244" s="1">
        <v>26</v>
      </c>
      <c r="F244" s="1">
        <v>396858</v>
      </c>
      <c r="G244" s="1">
        <v>10318308</v>
      </c>
    </row>
    <row r="245" spans="1:7" ht="12.5" x14ac:dyDescent="0.25">
      <c r="A245" s="2">
        <v>45673</v>
      </c>
      <c r="B245" s="1" t="s">
        <v>15</v>
      </c>
      <c r="C245" s="1" t="s">
        <v>8</v>
      </c>
      <c r="D245" s="1" t="s">
        <v>14</v>
      </c>
      <c r="E245" s="1">
        <v>11</v>
      </c>
      <c r="F245" s="1">
        <v>398349</v>
      </c>
      <c r="G245" s="1">
        <v>4381839</v>
      </c>
    </row>
    <row r="246" spans="1:7" ht="12.5" x14ac:dyDescent="0.25">
      <c r="A246" s="2">
        <v>45673</v>
      </c>
      <c r="B246" s="1" t="s">
        <v>15</v>
      </c>
      <c r="C246" s="1" t="s">
        <v>16</v>
      </c>
      <c r="D246" s="1" t="s">
        <v>20</v>
      </c>
      <c r="E246" s="1">
        <v>72</v>
      </c>
      <c r="F246" s="1">
        <v>65318</v>
      </c>
      <c r="G246" s="1">
        <v>4702896</v>
      </c>
    </row>
    <row r="247" spans="1:7" ht="12.5" x14ac:dyDescent="0.25">
      <c r="A247" s="2">
        <v>45673</v>
      </c>
      <c r="B247" s="1" t="s">
        <v>15</v>
      </c>
      <c r="C247" s="1" t="s">
        <v>16</v>
      </c>
      <c r="D247" s="1" t="s">
        <v>12</v>
      </c>
      <c r="E247" s="1">
        <v>107</v>
      </c>
      <c r="F247" s="1">
        <v>143515</v>
      </c>
      <c r="G247" s="1">
        <v>15356105</v>
      </c>
    </row>
    <row r="248" spans="1:7" ht="12.5" x14ac:dyDescent="0.25">
      <c r="A248" s="2">
        <v>45673</v>
      </c>
      <c r="B248" s="1" t="s">
        <v>15</v>
      </c>
      <c r="C248" s="1" t="s">
        <v>16</v>
      </c>
      <c r="D248" s="1" t="s">
        <v>18</v>
      </c>
      <c r="E248" s="1">
        <v>82</v>
      </c>
      <c r="F248" s="1">
        <v>198014</v>
      </c>
      <c r="G248" s="1">
        <v>16237148</v>
      </c>
    </row>
    <row r="249" spans="1:7" ht="12.5" x14ac:dyDescent="0.25">
      <c r="A249" s="2">
        <v>45673</v>
      </c>
      <c r="B249" s="1" t="s">
        <v>15</v>
      </c>
      <c r="C249" s="1" t="s">
        <v>22</v>
      </c>
      <c r="D249" s="1" t="s">
        <v>12</v>
      </c>
      <c r="E249" s="1">
        <v>76</v>
      </c>
      <c r="F249" s="1">
        <v>221951</v>
      </c>
      <c r="G249" s="1">
        <v>16868276</v>
      </c>
    </row>
    <row r="250" spans="1:7" ht="12.5" x14ac:dyDescent="0.25">
      <c r="A250" s="2">
        <v>45673</v>
      </c>
      <c r="B250" s="1" t="s">
        <v>15</v>
      </c>
      <c r="C250" s="1" t="s">
        <v>11</v>
      </c>
      <c r="D250" s="1" t="s">
        <v>17</v>
      </c>
      <c r="E250" s="1">
        <v>72</v>
      </c>
      <c r="F250" s="1">
        <v>10126</v>
      </c>
      <c r="G250" s="1">
        <v>729072</v>
      </c>
    </row>
    <row r="251" spans="1:7" ht="12.5" x14ac:dyDescent="0.25">
      <c r="A251" s="2">
        <v>45673</v>
      </c>
      <c r="B251" s="1" t="s">
        <v>15</v>
      </c>
      <c r="C251" s="1" t="s">
        <v>8</v>
      </c>
      <c r="D251" s="1" t="s">
        <v>14</v>
      </c>
      <c r="E251" s="1">
        <v>31</v>
      </c>
      <c r="F251" s="1">
        <v>119945</v>
      </c>
      <c r="G251" s="1">
        <v>3718295</v>
      </c>
    </row>
    <row r="252" spans="1:7" ht="12.5" x14ac:dyDescent="0.25">
      <c r="A252" s="2">
        <v>45673</v>
      </c>
      <c r="B252" s="1" t="s">
        <v>15</v>
      </c>
      <c r="C252" s="1" t="s">
        <v>22</v>
      </c>
      <c r="D252" s="1" t="s">
        <v>14</v>
      </c>
      <c r="E252" s="1">
        <v>29</v>
      </c>
      <c r="F252" s="1">
        <v>185399</v>
      </c>
      <c r="G252" s="1">
        <v>5376571</v>
      </c>
    </row>
    <row r="253" spans="1:7" ht="12.5" x14ac:dyDescent="0.25">
      <c r="A253" s="2">
        <v>45673</v>
      </c>
      <c r="B253" s="1" t="s">
        <v>15</v>
      </c>
      <c r="C253" s="1" t="s">
        <v>22</v>
      </c>
      <c r="D253" s="1" t="s">
        <v>12</v>
      </c>
      <c r="E253" s="1">
        <v>23</v>
      </c>
      <c r="F253" s="1">
        <v>44560</v>
      </c>
      <c r="G253" s="1">
        <v>1024880</v>
      </c>
    </row>
    <row r="254" spans="1:7" ht="12.5" x14ac:dyDescent="0.25">
      <c r="A254" s="2">
        <v>45673</v>
      </c>
      <c r="B254" s="1" t="s">
        <v>15</v>
      </c>
      <c r="C254" s="1" t="s">
        <v>11</v>
      </c>
      <c r="D254" s="1" t="s">
        <v>14</v>
      </c>
      <c r="E254" s="1">
        <v>90</v>
      </c>
      <c r="F254" s="1">
        <v>142717</v>
      </c>
      <c r="G254" s="1">
        <v>12844530</v>
      </c>
    </row>
    <row r="255" spans="1:7" ht="12.5" x14ac:dyDescent="0.25">
      <c r="A255" s="2">
        <v>45673</v>
      </c>
      <c r="B255" s="1" t="s">
        <v>15</v>
      </c>
      <c r="C255" s="1" t="s">
        <v>8</v>
      </c>
      <c r="D255" s="1" t="s">
        <v>14</v>
      </c>
      <c r="E255" s="1">
        <v>57</v>
      </c>
      <c r="F255" s="1">
        <v>504592</v>
      </c>
      <c r="G255" s="1">
        <v>28761744</v>
      </c>
    </row>
    <row r="256" spans="1:7" ht="12.5" x14ac:dyDescent="0.25">
      <c r="A256" s="2">
        <v>45673</v>
      </c>
      <c r="B256" s="1" t="s">
        <v>15</v>
      </c>
      <c r="C256" s="1" t="s">
        <v>8</v>
      </c>
      <c r="D256" s="1" t="s">
        <v>17</v>
      </c>
      <c r="E256" s="1">
        <v>115</v>
      </c>
      <c r="F256" s="1">
        <v>340388</v>
      </c>
      <c r="G256" s="1">
        <v>39144620</v>
      </c>
    </row>
    <row r="257" spans="1:7" ht="12.5" x14ac:dyDescent="0.25">
      <c r="A257" s="2">
        <v>45674</v>
      </c>
      <c r="B257" s="1" t="s">
        <v>15</v>
      </c>
      <c r="C257" s="1" t="s">
        <v>11</v>
      </c>
      <c r="D257" s="1" t="s">
        <v>17</v>
      </c>
      <c r="E257" s="1">
        <v>9</v>
      </c>
      <c r="F257" s="1">
        <v>67545</v>
      </c>
      <c r="G257" s="1">
        <v>607905</v>
      </c>
    </row>
    <row r="258" spans="1:7" ht="12.5" x14ac:dyDescent="0.25">
      <c r="A258" s="2">
        <v>45674</v>
      </c>
      <c r="B258" s="1" t="s">
        <v>15</v>
      </c>
      <c r="C258" s="1" t="s">
        <v>11</v>
      </c>
      <c r="D258" s="1" t="s">
        <v>18</v>
      </c>
      <c r="E258" s="1">
        <v>26</v>
      </c>
      <c r="F258" s="1">
        <v>23224</v>
      </c>
      <c r="G258" s="1">
        <v>603824</v>
      </c>
    </row>
    <row r="259" spans="1:7" ht="12.5" x14ac:dyDescent="0.25">
      <c r="A259" s="2">
        <v>45674</v>
      </c>
      <c r="B259" s="1" t="s">
        <v>15</v>
      </c>
      <c r="C259" s="1" t="s">
        <v>8</v>
      </c>
      <c r="D259" s="1" t="s">
        <v>20</v>
      </c>
      <c r="E259" s="1">
        <v>90</v>
      </c>
      <c r="F259" s="1">
        <v>476725</v>
      </c>
      <c r="G259" s="1">
        <v>42905250</v>
      </c>
    </row>
    <row r="260" spans="1:7" ht="12.5" x14ac:dyDescent="0.25">
      <c r="A260" s="2">
        <v>45674</v>
      </c>
      <c r="B260" s="1" t="s">
        <v>15</v>
      </c>
      <c r="C260" s="1" t="s">
        <v>22</v>
      </c>
      <c r="D260" s="1" t="s">
        <v>9</v>
      </c>
      <c r="E260" s="1">
        <v>34</v>
      </c>
      <c r="F260" s="1">
        <v>308512</v>
      </c>
      <c r="G260" s="1">
        <v>10489408</v>
      </c>
    </row>
    <row r="261" spans="1:7" ht="12.5" x14ac:dyDescent="0.25">
      <c r="A261" s="2">
        <v>45674</v>
      </c>
      <c r="B261" s="1" t="s">
        <v>15</v>
      </c>
      <c r="C261" s="1" t="s">
        <v>8</v>
      </c>
      <c r="D261" s="1" t="s">
        <v>18</v>
      </c>
      <c r="E261" s="1">
        <v>51</v>
      </c>
      <c r="F261" s="1">
        <v>514471</v>
      </c>
      <c r="G261" s="1">
        <v>26238021</v>
      </c>
    </row>
    <row r="262" spans="1:7" ht="12.5" x14ac:dyDescent="0.25">
      <c r="A262" s="2">
        <v>45674</v>
      </c>
      <c r="B262" s="1" t="s">
        <v>15</v>
      </c>
      <c r="C262" s="1" t="s">
        <v>16</v>
      </c>
      <c r="D262" s="1" t="s">
        <v>17</v>
      </c>
      <c r="E262" s="1">
        <v>117</v>
      </c>
      <c r="F262" s="1">
        <v>228967</v>
      </c>
      <c r="G262" s="1">
        <v>26789139</v>
      </c>
    </row>
    <row r="263" spans="1:7" ht="12.5" x14ac:dyDescent="0.25">
      <c r="A263" s="2">
        <v>45674</v>
      </c>
      <c r="B263" s="1" t="s">
        <v>15</v>
      </c>
      <c r="C263" s="1" t="s">
        <v>11</v>
      </c>
      <c r="D263" s="1" t="s">
        <v>17</v>
      </c>
      <c r="E263" s="1">
        <v>63</v>
      </c>
      <c r="F263" s="1">
        <v>157313</v>
      </c>
      <c r="G263" s="1">
        <v>9910719</v>
      </c>
    </row>
    <row r="264" spans="1:7" ht="12.5" x14ac:dyDescent="0.25">
      <c r="A264" s="2">
        <v>45674</v>
      </c>
      <c r="B264" s="1" t="s">
        <v>15</v>
      </c>
      <c r="C264" s="1" t="s">
        <v>8</v>
      </c>
      <c r="D264" s="1" t="s">
        <v>18</v>
      </c>
      <c r="E264" s="1">
        <v>81</v>
      </c>
      <c r="F264" s="1">
        <v>29816</v>
      </c>
      <c r="G264" s="1">
        <v>2415096</v>
      </c>
    </row>
    <row r="265" spans="1:7" ht="12.5" x14ac:dyDescent="0.25">
      <c r="A265" s="2">
        <v>45674</v>
      </c>
      <c r="B265" s="1" t="s">
        <v>15</v>
      </c>
      <c r="C265" s="1" t="s">
        <v>16</v>
      </c>
      <c r="D265" s="1" t="s">
        <v>17</v>
      </c>
      <c r="E265" s="1">
        <v>86</v>
      </c>
      <c r="F265" s="1">
        <v>216524</v>
      </c>
      <c r="G265" s="1">
        <v>18621064</v>
      </c>
    </row>
    <row r="266" spans="1:7" ht="12.5" x14ac:dyDescent="0.25">
      <c r="A266" s="2">
        <v>45674</v>
      </c>
      <c r="B266" s="1" t="s">
        <v>15</v>
      </c>
      <c r="C266" s="1" t="s">
        <v>8</v>
      </c>
      <c r="D266" s="1" t="s">
        <v>14</v>
      </c>
      <c r="E266" s="1">
        <v>1</v>
      </c>
      <c r="F266" s="1">
        <v>536047</v>
      </c>
      <c r="G266" s="1">
        <v>536047</v>
      </c>
    </row>
    <row r="267" spans="1:7" ht="12.5" x14ac:dyDescent="0.25">
      <c r="A267" s="2">
        <v>45674</v>
      </c>
      <c r="B267" s="1" t="s">
        <v>15</v>
      </c>
      <c r="C267" s="1" t="s">
        <v>8</v>
      </c>
      <c r="D267" s="1" t="s">
        <v>14</v>
      </c>
      <c r="E267" s="1">
        <v>51</v>
      </c>
      <c r="F267" s="1">
        <v>461282</v>
      </c>
      <c r="G267" s="1">
        <v>23525382</v>
      </c>
    </row>
    <row r="268" spans="1:7" ht="12.5" x14ac:dyDescent="0.25">
      <c r="A268" s="2">
        <v>45674</v>
      </c>
      <c r="B268" s="1" t="s">
        <v>15</v>
      </c>
      <c r="C268" s="1" t="s">
        <v>11</v>
      </c>
      <c r="D268" s="1" t="s">
        <v>9</v>
      </c>
      <c r="E268" s="1">
        <v>49</v>
      </c>
      <c r="F268" s="1">
        <v>183532</v>
      </c>
      <c r="G268" s="1">
        <v>8993068</v>
      </c>
    </row>
    <row r="269" spans="1:7" ht="12.5" x14ac:dyDescent="0.25">
      <c r="A269" s="2">
        <v>45674</v>
      </c>
      <c r="B269" s="1" t="s">
        <v>15</v>
      </c>
      <c r="C269" s="1" t="s">
        <v>24</v>
      </c>
      <c r="D269" s="1" t="s">
        <v>14</v>
      </c>
      <c r="E269" s="1">
        <v>1</v>
      </c>
      <c r="F269" s="1">
        <v>267009</v>
      </c>
      <c r="G269" s="1">
        <v>267009</v>
      </c>
    </row>
    <row r="270" spans="1:7" ht="12.5" x14ac:dyDescent="0.25">
      <c r="A270" s="2">
        <v>45674</v>
      </c>
      <c r="B270" s="1" t="s">
        <v>15</v>
      </c>
      <c r="C270" s="1" t="s">
        <v>8</v>
      </c>
      <c r="D270" s="1" t="s">
        <v>18</v>
      </c>
      <c r="E270" s="1">
        <v>113</v>
      </c>
      <c r="F270" s="1">
        <v>310709</v>
      </c>
      <c r="G270" s="1">
        <v>35110117</v>
      </c>
    </row>
    <row r="271" spans="1:7" ht="12.5" x14ac:dyDescent="0.25">
      <c r="A271" s="2">
        <v>45674</v>
      </c>
      <c r="B271" s="1" t="s">
        <v>15</v>
      </c>
      <c r="C271" s="1" t="s">
        <v>8</v>
      </c>
      <c r="D271" s="1" t="s">
        <v>9</v>
      </c>
      <c r="E271" s="1">
        <v>8</v>
      </c>
      <c r="F271" s="1">
        <v>284486</v>
      </c>
      <c r="G271" s="1">
        <v>2275888</v>
      </c>
    </row>
    <row r="272" spans="1:7" ht="12.5" x14ac:dyDescent="0.25">
      <c r="A272" s="2">
        <v>45674</v>
      </c>
      <c r="B272" s="1" t="s">
        <v>15</v>
      </c>
      <c r="C272" s="1" t="s">
        <v>24</v>
      </c>
      <c r="D272" s="1" t="s">
        <v>18</v>
      </c>
      <c r="E272" s="1">
        <v>74</v>
      </c>
      <c r="F272" s="1">
        <v>193675</v>
      </c>
      <c r="G272" s="1">
        <v>14331950</v>
      </c>
    </row>
    <row r="273" spans="1:7" ht="12.5" x14ac:dyDescent="0.25">
      <c r="A273" s="2">
        <v>45674</v>
      </c>
      <c r="B273" s="1" t="s">
        <v>15</v>
      </c>
      <c r="C273" s="1" t="s">
        <v>24</v>
      </c>
      <c r="D273" s="1" t="s">
        <v>17</v>
      </c>
      <c r="E273" s="1">
        <v>7</v>
      </c>
      <c r="F273" s="1">
        <v>119575</v>
      </c>
      <c r="G273" s="1">
        <v>837025</v>
      </c>
    </row>
    <row r="274" spans="1:7" ht="12.5" x14ac:dyDescent="0.25">
      <c r="A274" s="2">
        <v>45674</v>
      </c>
      <c r="B274" s="1" t="s">
        <v>15</v>
      </c>
      <c r="C274" s="1" t="s">
        <v>8</v>
      </c>
      <c r="D274" s="1" t="s">
        <v>9</v>
      </c>
      <c r="E274" s="1">
        <v>67</v>
      </c>
      <c r="F274" s="1">
        <v>515815</v>
      </c>
      <c r="G274" s="1">
        <v>34559605</v>
      </c>
    </row>
    <row r="275" spans="1:7" ht="12.5" x14ac:dyDescent="0.25">
      <c r="A275" s="2">
        <v>45674</v>
      </c>
      <c r="B275" s="1" t="s">
        <v>15</v>
      </c>
      <c r="C275" s="1" t="s">
        <v>8</v>
      </c>
      <c r="D275" s="1" t="s">
        <v>12</v>
      </c>
      <c r="E275" s="1">
        <v>72</v>
      </c>
      <c r="F275" s="1">
        <v>459589</v>
      </c>
      <c r="G275" s="1">
        <v>33090408</v>
      </c>
    </row>
    <row r="276" spans="1:7" ht="12.5" x14ac:dyDescent="0.25">
      <c r="A276" s="2">
        <v>45674</v>
      </c>
      <c r="B276" s="1" t="s">
        <v>15</v>
      </c>
      <c r="C276" s="1" t="s">
        <v>22</v>
      </c>
      <c r="D276" s="1" t="s">
        <v>20</v>
      </c>
      <c r="E276" s="1">
        <v>51</v>
      </c>
      <c r="F276" s="1">
        <v>357739</v>
      </c>
      <c r="G276" s="1">
        <v>18244689</v>
      </c>
    </row>
    <row r="277" spans="1:7" ht="12.5" x14ac:dyDescent="0.25">
      <c r="A277" s="2">
        <v>45674</v>
      </c>
      <c r="B277" s="1" t="s">
        <v>15</v>
      </c>
      <c r="C277" s="1" t="s">
        <v>22</v>
      </c>
      <c r="D277" s="1" t="s">
        <v>14</v>
      </c>
      <c r="E277" s="1">
        <v>96</v>
      </c>
      <c r="F277" s="1">
        <v>435037</v>
      </c>
      <c r="G277" s="1">
        <v>41763552</v>
      </c>
    </row>
    <row r="278" spans="1:7" ht="12.5" x14ac:dyDescent="0.25">
      <c r="A278" s="2">
        <v>45675</v>
      </c>
      <c r="B278" s="1" t="s">
        <v>15</v>
      </c>
      <c r="C278" s="1" t="s">
        <v>22</v>
      </c>
      <c r="D278" s="1" t="s">
        <v>14</v>
      </c>
      <c r="E278" s="1">
        <v>16</v>
      </c>
      <c r="F278" s="1">
        <v>326915</v>
      </c>
      <c r="G278" s="1">
        <v>5230640</v>
      </c>
    </row>
    <row r="279" spans="1:7" ht="12.5" x14ac:dyDescent="0.25">
      <c r="A279" s="2">
        <v>45675</v>
      </c>
      <c r="B279" s="1" t="s">
        <v>15</v>
      </c>
      <c r="C279" s="1" t="s">
        <v>11</v>
      </c>
      <c r="D279" s="1" t="s">
        <v>20</v>
      </c>
      <c r="E279" s="1">
        <v>14</v>
      </c>
      <c r="F279" s="1">
        <v>76358</v>
      </c>
      <c r="G279" s="1">
        <v>1069012</v>
      </c>
    </row>
    <row r="280" spans="1:7" ht="12.5" x14ac:dyDescent="0.25">
      <c r="A280" s="2">
        <v>45675</v>
      </c>
      <c r="B280" s="1" t="s">
        <v>15</v>
      </c>
      <c r="C280" s="1" t="s">
        <v>8</v>
      </c>
      <c r="D280" s="1" t="s">
        <v>12</v>
      </c>
      <c r="E280" s="1">
        <v>74</v>
      </c>
      <c r="F280" s="1">
        <v>264726</v>
      </c>
      <c r="G280" s="1">
        <v>19589724</v>
      </c>
    </row>
    <row r="281" spans="1:7" ht="12.5" x14ac:dyDescent="0.25">
      <c r="A281" s="2">
        <v>45675</v>
      </c>
      <c r="B281" s="1" t="s">
        <v>15</v>
      </c>
      <c r="C281" s="1" t="s">
        <v>22</v>
      </c>
      <c r="D281" s="1" t="s">
        <v>18</v>
      </c>
      <c r="E281" s="1">
        <v>112</v>
      </c>
      <c r="F281" s="1">
        <v>177292</v>
      </c>
      <c r="G281" s="1">
        <v>19856704</v>
      </c>
    </row>
    <row r="282" spans="1:7" ht="12.5" x14ac:dyDescent="0.25">
      <c r="A282" s="2">
        <v>45675</v>
      </c>
      <c r="B282" s="1" t="s">
        <v>15</v>
      </c>
      <c r="C282" s="1" t="s">
        <v>11</v>
      </c>
      <c r="D282" s="1" t="s">
        <v>17</v>
      </c>
      <c r="E282" s="1">
        <v>60</v>
      </c>
      <c r="F282" s="1">
        <v>391009</v>
      </c>
      <c r="G282" s="1">
        <v>23460540</v>
      </c>
    </row>
    <row r="283" spans="1:7" ht="12.5" x14ac:dyDescent="0.25">
      <c r="A283" s="2">
        <v>45675</v>
      </c>
      <c r="B283" s="1" t="s">
        <v>15</v>
      </c>
      <c r="C283" s="1" t="s">
        <v>8</v>
      </c>
      <c r="D283" s="1" t="s">
        <v>20</v>
      </c>
      <c r="E283" s="1">
        <v>69</v>
      </c>
      <c r="F283" s="1">
        <v>97955</v>
      </c>
      <c r="G283" s="1">
        <v>6758895</v>
      </c>
    </row>
    <row r="284" spans="1:7" ht="12.5" x14ac:dyDescent="0.25">
      <c r="A284" s="2">
        <v>45675</v>
      </c>
      <c r="B284" s="1" t="s">
        <v>15</v>
      </c>
      <c r="C284" s="1" t="s">
        <v>8</v>
      </c>
      <c r="D284" s="1" t="s">
        <v>18</v>
      </c>
      <c r="E284" s="1">
        <v>2</v>
      </c>
      <c r="F284" s="1">
        <v>104914</v>
      </c>
      <c r="G284" s="1">
        <v>209828</v>
      </c>
    </row>
    <row r="285" spans="1:7" ht="12.5" x14ac:dyDescent="0.25">
      <c r="A285" s="2">
        <v>45675</v>
      </c>
      <c r="B285" s="1" t="s">
        <v>23</v>
      </c>
      <c r="C285" s="1" t="s">
        <v>8</v>
      </c>
      <c r="D285" s="1" t="s">
        <v>20</v>
      </c>
      <c r="E285" s="1">
        <v>5</v>
      </c>
      <c r="F285" s="1">
        <v>204269</v>
      </c>
      <c r="G285" s="1">
        <v>1021345</v>
      </c>
    </row>
    <row r="286" spans="1:7" ht="12.5" x14ac:dyDescent="0.25">
      <c r="A286" s="2">
        <v>45675</v>
      </c>
      <c r="B286" s="1" t="s">
        <v>23</v>
      </c>
      <c r="C286" s="1" t="s">
        <v>11</v>
      </c>
      <c r="D286" s="1" t="s">
        <v>20</v>
      </c>
      <c r="E286" s="1">
        <v>44</v>
      </c>
      <c r="F286" s="1">
        <v>130674</v>
      </c>
      <c r="G286" s="1">
        <v>5749656</v>
      </c>
    </row>
    <row r="287" spans="1:7" ht="12.5" x14ac:dyDescent="0.25">
      <c r="A287" s="2">
        <v>45675</v>
      </c>
      <c r="B287" s="1" t="s">
        <v>23</v>
      </c>
      <c r="C287" s="1" t="s">
        <v>16</v>
      </c>
      <c r="D287" s="1" t="s">
        <v>9</v>
      </c>
      <c r="E287" s="1">
        <v>108</v>
      </c>
      <c r="F287" s="1">
        <v>266713</v>
      </c>
      <c r="G287" s="1">
        <v>28805004</v>
      </c>
    </row>
    <row r="288" spans="1:7" ht="12.5" x14ac:dyDescent="0.25">
      <c r="A288" s="2">
        <v>45675</v>
      </c>
      <c r="B288" s="1" t="s">
        <v>23</v>
      </c>
      <c r="C288" s="1" t="s">
        <v>16</v>
      </c>
      <c r="D288" s="1" t="s">
        <v>20</v>
      </c>
      <c r="E288" s="1">
        <v>87</v>
      </c>
      <c r="F288" s="1">
        <v>227215</v>
      </c>
      <c r="G288" s="1">
        <v>19767705</v>
      </c>
    </row>
    <row r="289" spans="1:7" ht="12.5" x14ac:dyDescent="0.25">
      <c r="A289" s="2">
        <v>45675</v>
      </c>
      <c r="B289" s="1" t="s">
        <v>23</v>
      </c>
      <c r="C289" s="1" t="s">
        <v>22</v>
      </c>
      <c r="D289" s="1" t="s">
        <v>20</v>
      </c>
      <c r="E289" s="1">
        <v>81</v>
      </c>
      <c r="F289" s="1">
        <v>536861</v>
      </c>
      <c r="G289" s="1">
        <v>43485741</v>
      </c>
    </row>
    <row r="290" spans="1:7" ht="12.5" x14ac:dyDescent="0.25">
      <c r="A290" s="2">
        <v>45675</v>
      </c>
      <c r="B290" s="1" t="s">
        <v>23</v>
      </c>
      <c r="C290" s="1" t="s">
        <v>11</v>
      </c>
      <c r="D290" s="1" t="s">
        <v>14</v>
      </c>
      <c r="E290" s="1">
        <v>25</v>
      </c>
      <c r="F290" s="1">
        <v>332918</v>
      </c>
      <c r="G290" s="1">
        <v>8322950</v>
      </c>
    </row>
    <row r="291" spans="1:7" ht="12.5" x14ac:dyDescent="0.25">
      <c r="A291" s="2">
        <v>45675</v>
      </c>
      <c r="B291" s="1" t="s">
        <v>23</v>
      </c>
      <c r="C291" s="1" t="s">
        <v>16</v>
      </c>
      <c r="D291" s="1" t="s">
        <v>20</v>
      </c>
      <c r="E291" s="1">
        <v>107</v>
      </c>
      <c r="F291" s="1">
        <v>323837</v>
      </c>
      <c r="G291" s="1">
        <v>34650559</v>
      </c>
    </row>
    <row r="292" spans="1:7" ht="12.5" x14ac:dyDescent="0.25">
      <c r="A292" s="2">
        <v>45675</v>
      </c>
      <c r="B292" s="1" t="s">
        <v>23</v>
      </c>
      <c r="C292" s="1" t="s">
        <v>24</v>
      </c>
      <c r="D292" s="1" t="s">
        <v>12</v>
      </c>
      <c r="E292" s="1">
        <v>29</v>
      </c>
      <c r="F292" s="1">
        <v>217980</v>
      </c>
      <c r="G292" s="1">
        <v>6321420</v>
      </c>
    </row>
    <row r="293" spans="1:7" ht="12.5" x14ac:dyDescent="0.25">
      <c r="A293" s="2">
        <v>45675</v>
      </c>
      <c r="B293" s="1" t="s">
        <v>23</v>
      </c>
      <c r="C293" s="1" t="s">
        <v>22</v>
      </c>
      <c r="D293" s="1" t="s">
        <v>20</v>
      </c>
      <c r="E293" s="1">
        <v>70</v>
      </c>
      <c r="F293" s="1">
        <v>528271</v>
      </c>
      <c r="G293" s="1">
        <v>36978970</v>
      </c>
    </row>
    <row r="294" spans="1:7" ht="12.5" x14ac:dyDescent="0.25">
      <c r="A294" s="2">
        <v>45675</v>
      </c>
      <c r="B294" s="1" t="s">
        <v>23</v>
      </c>
      <c r="C294" s="1" t="s">
        <v>8</v>
      </c>
      <c r="D294" s="1" t="s">
        <v>12</v>
      </c>
      <c r="E294" s="1">
        <v>41</v>
      </c>
      <c r="F294" s="1">
        <v>167729</v>
      </c>
      <c r="G294" s="1">
        <v>6876889</v>
      </c>
    </row>
    <row r="295" spans="1:7" ht="12.5" x14ac:dyDescent="0.25">
      <c r="A295" s="2">
        <v>45675</v>
      </c>
      <c r="B295" s="1" t="s">
        <v>23</v>
      </c>
      <c r="C295" s="1" t="s">
        <v>8</v>
      </c>
      <c r="D295" s="1" t="s">
        <v>20</v>
      </c>
      <c r="E295" s="1">
        <v>102</v>
      </c>
      <c r="F295" s="1">
        <v>535910</v>
      </c>
      <c r="G295" s="1">
        <v>54662820</v>
      </c>
    </row>
    <row r="296" spans="1:7" ht="12.5" x14ac:dyDescent="0.25">
      <c r="A296" s="2">
        <v>45675</v>
      </c>
      <c r="B296" s="1" t="s">
        <v>23</v>
      </c>
      <c r="C296" s="1" t="s">
        <v>16</v>
      </c>
      <c r="D296" s="1" t="s">
        <v>14</v>
      </c>
      <c r="E296" s="1">
        <v>85</v>
      </c>
      <c r="F296" s="1">
        <v>61226</v>
      </c>
      <c r="G296" s="1">
        <v>5204210</v>
      </c>
    </row>
    <row r="297" spans="1:7" ht="12.5" x14ac:dyDescent="0.25">
      <c r="A297" s="2">
        <v>45675</v>
      </c>
      <c r="B297" s="1" t="s">
        <v>23</v>
      </c>
      <c r="C297" s="1" t="s">
        <v>22</v>
      </c>
      <c r="D297" s="1" t="s">
        <v>12</v>
      </c>
      <c r="E297" s="1">
        <v>40</v>
      </c>
      <c r="F297" s="1">
        <v>187900</v>
      </c>
      <c r="G297" s="1">
        <v>7516000</v>
      </c>
    </row>
    <row r="298" spans="1:7" ht="12.5" x14ac:dyDescent="0.25">
      <c r="A298" s="2">
        <v>45675</v>
      </c>
      <c r="B298" s="1" t="s">
        <v>23</v>
      </c>
      <c r="C298" s="1" t="s">
        <v>8</v>
      </c>
      <c r="D298" s="1" t="s">
        <v>20</v>
      </c>
      <c r="E298" s="1">
        <v>10</v>
      </c>
      <c r="F298" s="1">
        <v>462268</v>
      </c>
      <c r="G298" s="1">
        <v>4622680</v>
      </c>
    </row>
    <row r="299" spans="1:7" ht="12.5" x14ac:dyDescent="0.25">
      <c r="A299" s="2">
        <v>45676</v>
      </c>
      <c r="B299" s="1" t="s">
        <v>23</v>
      </c>
      <c r="C299" s="1" t="s">
        <v>11</v>
      </c>
      <c r="D299" s="1" t="s">
        <v>20</v>
      </c>
      <c r="E299" s="1">
        <v>92</v>
      </c>
      <c r="F299" s="1">
        <v>520585</v>
      </c>
      <c r="G299" s="1">
        <v>47893820</v>
      </c>
    </row>
    <row r="300" spans="1:7" ht="12.5" x14ac:dyDescent="0.25">
      <c r="A300" s="2">
        <v>45676</v>
      </c>
      <c r="B300" s="1" t="s">
        <v>23</v>
      </c>
      <c r="C300" s="1" t="s">
        <v>8</v>
      </c>
      <c r="D300" s="1" t="s">
        <v>12</v>
      </c>
      <c r="E300" s="1">
        <v>54</v>
      </c>
      <c r="F300" s="1">
        <v>202192</v>
      </c>
      <c r="G300" s="1">
        <v>10918368</v>
      </c>
    </row>
    <row r="301" spans="1:7" ht="12.5" x14ac:dyDescent="0.25">
      <c r="A301" s="2">
        <v>45676</v>
      </c>
      <c r="B301" s="1" t="s">
        <v>23</v>
      </c>
      <c r="C301" s="1" t="s">
        <v>8</v>
      </c>
      <c r="D301" s="1" t="s">
        <v>18</v>
      </c>
      <c r="E301" s="1">
        <v>115</v>
      </c>
      <c r="F301" s="1">
        <v>523319</v>
      </c>
      <c r="G301" s="1">
        <v>60181685</v>
      </c>
    </row>
    <row r="302" spans="1:7" ht="12.5" x14ac:dyDescent="0.25">
      <c r="A302" s="2">
        <v>45676</v>
      </c>
      <c r="B302" s="1" t="s">
        <v>23</v>
      </c>
      <c r="C302" s="1" t="s">
        <v>8</v>
      </c>
      <c r="D302" s="1" t="s">
        <v>9</v>
      </c>
      <c r="E302" s="1">
        <v>59</v>
      </c>
      <c r="F302" s="1">
        <v>21046</v>
      </c>
      <c r="G302" s="1">
        <v>1241714</v>
      </c>
    </row>
    <row r="303" spans="1:7" ht="12.5" x14ac:dyDescent="0.25">
      <c r="A303" s="2">
        <v>45676</v>
      </c>
      <c r="B303" s="1" t="s">
        <v>23</v>
      </c>
      <c r="C303" s="1" t="s">
        <v>16</v>
      </c>
      <c r="D303" s="1" t="s">
        <v>14</v>
      </c>
      <c r="E303" s="1">
        <v>98</v>
      </c>
      <c r="F303" s="1">
        <v>426366</v>
      </c>
      <c r="G303" s="1">
        <v>41783868</v>
      </c>
    </row>
    <row r="304" spans="1:7" ht="12.5" x14ac:dyDescent="0.25">
      <c r="A304" s="2">
        <v>45676</v>
      </c>
      <c r="B304" s="1" t="s">
        <v>23</v>
      </c>
      <c r="C304" s="1" t="s">
        <v>16</v>
      </c>
      <c r="D304" s="1" t="s">
        <v>20</v>
      </c>
      <c r="E304" s="1">
        <v>69</v>
      </c>
      <c r="F304" s="1">
        <v>492615</v>
      </c>
      <c r="G304" s="1">
        <v>33990435</v>
      </c>
    </row>
    <row r="305" spans="1:7" ht="12.5" x14ac:dyDescent="0.25">
      <c r="A305" s="2">
        <v>45676</v>
      </c>
      <c r="B305" s="1" t="s">
        <v>23</v>
      </c>
      <c r="C305" s="1" t="s">
        <v>8</v>
      </c>
      <c r="D305" s="1" t="s">
        <v>9</v>
      </c>
      <c r="E305" s="1">
        <v>111</v>
      </c>
      <c r="F305" s="1">
        <v>254883</v>
      </c>
      <c r="G305" s="1">
        <v>28292013</v>
      </c>
    </row>
    <row r="306" spans="1:7" ht="12.5" x14ac:dyDescent="0.25">
      <c r="A306" s="2">
        <v>45676</v>
      </c>
      <c r="B306" s="1" t="s">
        <v>23</v>
      </c>
      <c r="C306" s="1" t="s">
        <v>8</v>
      </c>
      <c r="D306" s="1" t="s">
        <v>12</v>
      </c>
      <c r="E306" s="1">
        <v>107</v>
      </c>
      <c r="F306" s="1">
        <v>131789</v>
      </c>
      <c r="G306" s="1">
        <v>14101423</v>
      </c>
    </row>
    <row r="307" spans="1:7" ht="12.5" x14ac:dyDescent="0.25">
      <c r="A307" s="2">
        <v>45676</v>
      </c>
      <c r="B307" s="1" t="s">
        <v>23</v>
      </c>
      <c r="C307" s="1" t="s">
        <v>22</v>
      </c>
      <c r="D307" s="1" t="s">
        <v>20</v>
      </c>
      <c r="E307" s="1">
        <v>98</v>
      </c>
      <c r="F307" s="1">
        <v>188376</v>
      </c>
      <c r="G307" s="1">
        <v>18460848</v>
      </c>
    </row>
    <row r="308" spans="1:7" ht="12.5" x14ac:dyDescent="0.25">
      <c r="A308" s="2">
        <v>45676</v>
      </c>
      <c r="B308" s="1" t="s">
        <v>23</v>
      </c>
      <c r="C308" s="1" t="s">
        <v>11</v>
      </c>
      <c r="D308" s="1" t="s">
        <v>20</v>
      </c>
      <c r="E308" s="1">
        <v>73</v>
      </c>
      <c r="F308" s="1">
        <v>403276</v>
      </c>
      <c r="G308" s="1">
        <v>29439148</v>
      </c>
    </row>
    <row r="309" spans="1:7" ht="12.5" x14ac:dyDescent="0.25">
      <c r="A309" s="2">
        <v>45676</v>
      </c>
      <c r="B309" s="1" t="s">
        <v>23</v>
      </c>
      <c r="C309" s="1" t="s">
        <v>8</v>
      </c>
      <c r="D309" s="1" t="s">
        <v>20</v>
      </c>
      <c r="E309" s="1">
        <v>39</v>
      </c>
      <c r="F309" s="1">
        <v>34354</v>
      </c>
      <c r="G309" s="1">
        <v>1339806</v>
      </c>
    </row>
    <row r="310" spans="1:7" ht="12.5" x14ac:dyDescent="0.25">
      <c r="A310" s="2">
        <v>45676</v>
      </c>
      <c r="B310" s="1" t="s">
        <v>23</v>
      </c>
      <c r="C310" s="1" t="s">
        <v>11</v>
      </c>
      <c r="D310" s="1" t="s">
        <v>14</v>
      </c>
      <c r="E310" s="1">
        <v>108</v>
      </c>
      <c r="F310" s="1">
        <v>509883</v>
      </c>
      <c r="G310" s="1">
        <v>55067364</v>
      </c>
    </row>
    <row r="311" spans="1:7" ht="12.5" x14ac:dyDescent="0.25">
      <c r="A311" s="2">
        <v>45676</v>
      </c>
      <c r="B311" s="1" t="s">
        <v>23</v>
      </c>
      <c r="C311" s="1" t="s">
        <v>16</v>
      </c>
      <c r="D311" s="1" t="s">
        <v>12</v>
      </c>
      <c r="E311" s="1">
        <v>98</v>
      </c>
      <c r="F311" s="1">
        <v>295195</v>
      </c>
      <c r="G311" s="1">
        <v>28929110</v>
      </c>
    </row>
    <row r="312" spans="1:7" ht="12.5" x14ac:dyDescent="0.25">
      <c r="A312" s="2">
        <v>45676</v>
      </c>
      <c r="B312" s="1" t="s">
        <v>23</v>
      </c>
      <c r="C312" s="1" t="s">
        <v>8</v>
      </c>
      <c r="D312" s="1" t="s">
        <v>12</v>
      </c>
      <c r="E312" s="1">
        <v>59</v>
      </c>
      <c r="F312" s="1">
        <v>341770</v>
      </c>
      <c r="G312" s="1">
        <v>20164430</v>
      </c>
    </row>
    <row r="313" spans="1:7" ht="12.5" x14ac:dyDescent="0.25">
      <c r="A313" s="2">
        <v>45676</v>
      </c>
      <c r="B313" s="1" t="s">
        <v>23</v>
      </c>
      <c r="C313" s="1" t="s">
        <v>8</v>
      </c>
      <c r="D313" s="1" t="s">
        <v>18</v>
      </c>
      <c r="E313" s="1">
        <v>74</v>
      </c>
      <c r="F313" s="1">
        <v>269568</v>
      </c>
      <c r="G313" s="1">
        <v>19948032</v>
      </c>
    </row>
    <row r="314" spans="1:7" ht="12.5" x14ac:dyDescent="0.25">
      <c r="A314" s="2">
        <v>45676</v>
      </c>
      <c r="B314" s="1" t="s">
        <v>23</v>
      </c>
      <c r="C314" s="1" t="s">
        <v>16</v>
      </c>
      <c r="D314" s="1" t="s">
        <v>12</v>
      </c>
      <c r="E314" s="1">
        <v>80</v>
      </c>
      <c r="F314" s="1">
        <v>403554</v>
      </c>
      <c r="G314" s="1">
        <v>32284320</v>
      </c>
    </row>
    <row r="315" spans="1:7" ht="12.5" x14ac:dyDescent="0.25">
      <c r="A315" s="2">
        <v>45676</v>
      </c>
      <c r="B315" s="1" t="s">
        <v>23</v>
      </c>
      <c r="C315" s="1" t="s">
        <v>8</v>
      </c>
      <c r="D315" s="1" t="s">
        <v>17</v>
      </c>
      <c r="E315" s="1">
        <v>87</v>
      </c>
      <c r="F315" s="1">
        <v>115423</v>
      </c>
      <c r="G315" s="1">
        <v>10041801</v>
      </c>
    </row>
    <row r="316" spans="1:7" ht="12.5" x14ac:dyDescent="0.25">
      <c r="A316" s="2">
        <v>45676</v>
      </c>
      <c r="B316" s="1" t="s">
        <v>23</v>
      </c>
      <c r="C316" s="1" t="s">
        <v>24</v>
      </c>
      <c r="D316" s="1" t="s">
        <v>20</v>
      </c>
      <c r="E316" s="1">
        <v>89</v>
      </c>
      <c r="F316" s="1">
        <v>87454</v>
      </c>
      <c r="G316" s="1">
        <v>7783406</v>
      </c>
    </row>
    <row r="317" spans="1:7" ht="12.5" x14ac:dyDescent="0.25">
      <c r="A317" s="2">
        <v>45676</v>
      </c>
      <c r="B317" s="1" t="s">
        <v>23</v>
      </c>
      <c r="C317" s="1" t="s">
        <v>8</v>
      </c>
      <c r="D317" s="1" t="s">
        <v>17</v>
      </c>
      <c r="E317" s="1">
        <v>109</v>
      </c>
      <c r="F317" s="1">
        <v>526142</v>
      </c>
      <c r="G317" s="1">
        <v>57349478</v>
      </c>
    </row>
    <row r="318" spans="1:7" ht="12.5" x14ac:dyDescent="0.25">
      <c r="A318" s="2">
        <v>45676</v>
      </c>
      <c r="B318" s="1" t="s">
        <v>23</v>
      </c>
      <c r="C318" s="1" t="s">
        <v>8</v>
      </c>
      <c r="D318" s="1" t="s">
        <v>20</v>
      </c>
      <c r="E318" s="1">
        <v>26</v>
      </c>
      <c r="F318" s="1">
        <v>328420</v>
      </c>
      <c r="G318" s="1">
        <v>8538920</v>
      </c>
    </row>
    <row r="319" spans="1:7" ht="12.5" x14ac:dyDescent="0.25">
      <c r="A319" s="2">
        <v>45676</v>
      </c>
      <c r="B319" s="1" t="s">
        <v>23</v>
      </c>
      <c r="C319" s="1" t="s">
        <v>8</v>
      </c>
      <c r="D319" s="1" t="s">
        <v>9</v>
      </c>
      <c r="E319" s="1">
        <v>14</v>
      </c>
      <c r="F319" s="1">
        <v>296214</v>
      </c>
      <c r="G319" s="1">
        <v>4146996</v>
      </c>
    </row>
    <row r="320" spans="1:7" ht="12.5" x14ac:dyDescent="0.25">
      <c r="A320" s="2">
        <v>45676</v>
      </c>
      <c r="B320" s="1" t="s">
        <v>23</v>
      </c>
      <c r="C320" s="1" t="s">
        <v>24</v>
      </c>
      <c r="D320" s="1" t="s">
        <v>14</v>
      </c>
      <c r="E320" s="1">
        <v>59</v>
      </c>
      <c r="F320" s="1">
        <v>409953</v>
      </c>
      <c r="G320" s="1">
        <v>24187227</v>
      </c>
    </row>
    <row r="321" spans="1:7" ht="12.5" x14ac:dyDescent="0.25">
      <c r="A321" s="2">
        <v>45676</v>
      </c>
      <c r="B321" s="1" t="s">
        <v>23</v>
      </c>
      <c r="C321" s="1" t="s">
        <v>8</v>
      </c>
      <c r="D321" s="1" t="s">
        <v>9</v>
      </c>
      <c r="E321" s="1">
        <v>39</v>
      </c>
      <c r="F321" s="1">
        <v>291570</v>
      </c>
      <c r="G321" s="1">
        <v>11371230</v>
      </c>
    </row>
    <row r="322" spans="1:7" ht="12.5" x14ac:dyDescent="0.25">
      <c r="A322" s="2">
        <v>45677</v>
      </c>
      <c r="B322" s="1" t="s">
        <v>23</v>
      </c>
      <c r="C322" s="1" t="s">
        <v>24</v>
      </c>
      <c r="D322" s="1" t="s">
        <v>9</v>
      </c>
      <c r="E322" s="1">
        <v>103</v>
      </c>
      <c r="F322" s="1">
        <v>99613</v>
      </c>
      <c r="G322" s="1">
        <v>10260139</v>
      </c>
    </row>
    <row r="323" spans="1:7" ht="12.5" x14ac:dyDescent="0.25">
      <c r="A323" s="2">
        <v>45677</v>
      </c>
      <c r="B323" s="1" t="s">
        <v>23</v>
      </c>
      <c r="C323" s="1" t="s">
        <v>8</v>
      </c>
      <c r="D323" s="1" t="s">
        <v>9</v>
      </c>
      <c r="E323" s="1">
        <v>60</v>
      </c>
      <c r="F323" s="1">
        <v>460348</v>
      </c>
      <c r="G323" s="1">
        <v>27620880</v>
      </c>
    </row>
    <row r="324" spans="1:7" ht="12.5" x14ac:dyDescent="0.25">
      <c r="A324" s="2">
        <v>45677</v>
      </c>
      <c r="B324" s="1" t="s">
        <v>23</v>
      </c>
      <c r="C324" s="1" t="s">
        <v>11</v>
      </c>
      <c r="D324" s="1" t="s">
        <v>18</v>
      </c>
      <c r="E324" s="1">
        <v>43</v>
      </c>
      <c r="F324" s="1">
        <v>144055</v>
      </c>
      <c r="G324" s="1">
        <v>6194365</v>
      </c>
    </row>
    <row r="325" spans="1:7" ht="12.5" x14ac:dyDescent="0.25">
      <c r="A325" s="2">
        <v>45677</v>
      </c>
      <c r="B325" s="1" t="s">
        <v>23</v>
      </c>
      <c r="C325" s="1" t="s">
        <v>8</v>
      </c>
      <c r="D325" s="1" t="s">
        <v>18</v>
      </c>
      <c r="E325" s="1">
        <v>15</v>
      </c>
      <c r="F325" s="1">
        <v>104071</v>
      </c>
      <c r="G325" s="1">
        <v>1561065</v>
      </c>
    </row>
    <row r="326" spans="1:7" ht="12.5" x14ac:dyDescent="0.25">
      <c r="A326" s="2">
        <v>45677</v>
      </c>
      <c r="B326" s="1" t="s">
        <v>23</v>
      </c>
      <c r="C326" s="1" t="s">
        <v>11</v>
      </c>
      <c r="D326" s="1" t="s">
        <v>17</v>
      </c>
      <c r="E326" s="1">
        <v>86</v>
      </c>
      <c r="F326" s="1">
        <v>279708</v>
      </c>
      <c r="G326" s="1">
        <v>24054888</v>
      </c>
    </row>
    <row r="327" spans="1:7" ht="12.5" x14ac:dyDescent="0.25">
      <c r="A327" s="2">
        <v>45677</v>
      </c>
      <c r="B327" s="1" t="s">
        <v>23</v>
      </c>
      <c r="C327" s="1" t="s">
        <v>11</v>
      </c>
      <c r="D327" s="1" t="s">
        <v>9</v>
      </c>
      <c r="E327" s="1">
        <v>42</v>
      </c>
      <c r="F327" s="1">
        <v>221837</v>
      </c>
      <c r="G327" s="1">
        <v>9317154</v>
      </c>
    </row>
    <row r="328" spans="1:7" ht="12.5" x14ac:dyDescent="0.25">
      <c r="A328" s="2">
        <v>45677</v>
      </c>
      <c r="B328" s="1" t="s">
        <v>23</v>
      </c>
      <c r="C328" s="1" t="s">
        <v>24</v>
      </c>
      <c r="D328" s="1" t="s">
        <v>12</v>
      </c>
      <c r="E328" s="1">
        <v>34</v>
      </c>
      <c r="F328" s="1">
        <v>135341</v>
      </c>
      <c r="G328" s="1">
        <v>4601594</v>
      </c>
    </row>
    <row r="329" spans="1:7" ht="12.5" x14ac:dyDescent="0.25">
      <c r="A329" s="2">
        <v>45677</v>
      </c>
      <c r="B329" s="1" t="s">
        <v>23</v>
      </c>
      <c r="C329" s="1" t="s">
        <v>11</v>
      </c>
      <c r="D329" s="1" t="s">
        <v>9</v>
      </c>
      <c r="E329" s="1">
        <v>18</v>
      </c>
      <c r="F329" s="1">
        <v>451759</v>
      </c>
      <c r="G329" s="1">
        <v>8131662</v>
      </c>
    </row>
    <row r="330" spans="1:7" ht="12.5" x14ac:dyDescent="0.25">
      <c r="A330" s="2">
        <v>45677</v>
      </c>
      <c r="B330" s="1" t="s">
        <v>23</v>
      </c>
      <c r="C330" s="1" t="s">
        <v>8</v>
      </c>
      <c r="D330" s="1" t="s">
        <v>12</v>
      </c>
      <c r="E330" s="1">
        <v>46</v>
      </c>
      <c r="F330" s="1">
        <v>432845</v>
      </c>
      <c r="G330" s="1">
        <v>19910870</v>
      </c>
    </row>
    <row r="331" spans="1:7" ht="12.5" x14ac:dyDescent="0.25">
      <c r="A331" s="2">
        <v>45677</v>
      </c>
      <c r="B331" s="1" t="s">
        <v>23</v>
      </c>
      <c r="C331" s="1" t="s">
        <v>16</v>
      </c>
      <c r="D331" s="1" t="s">
        <v>18</v>
      </c>
      <c r="E331" s="1">
        <v>117</v>
      </c>
      <c r="F331" s="1">
        <v>203259</v>
      </c>
      <c r="G331" s="1">
        <v>23781303</v>
      </c>
    </row>
    <row r="332" spans="1:7" ht="12.5" x14ac:dyDescent="0.25">
      <c r="A332" s="2">
        <v>45677</v>
      </c>
      <c r="B332" s="1" t="s">
        <v>23</v>
      </c>
      <c r="C332" s="1" t="s">
        <v>8</v>
      </c>
      <c r="D332" s="1" t="s">
        <v>18</v>
      </c>
      <c r="E332" s="1">
        <v>10</v>
      </c>
      <c r="F332" s="1">
        <v>191144</v>
      </c>
      <c r="G332" s="1">
        <v>1911440</v>
      </c>
    </row>
    <row r="333" spans="1:7" ht="12.5" x14ac:dyDescent="0.25">
      <c r="A333" s="2">
        <v>45677</v>
      </c>
      <c r="B333" s="1" t="s">
        <v>23</v>
      </c>
      <c r="C333" s="1" t="s">
        <v>11</v>
      </c>
      <c r="D333" s="1" t="s">
        <v>9</v>
      </c>
      <c r="E333" s="1">
        <v>65</v>
      </c>
      <c r="F333" s="1">
        <v>42733</v>
      </c>
      <c r="G333" s="1">
        <v>2777645</v>
      </c>
    </row>
    <row r="334" spans="1:7" ht="12.5" x14ac:dyDescent="0.25">
      <c r="A334" s="2">
        <v>45677</v>
      </c>
      <c r="B334" s="1" t="s">
        <v>23</v>
      </c>
      <c r="C334" s="1" t="s">
        <v>11</v>
      </c>
      <c r="D334" s="1" t="s">
        <v>20</v>
      </c>
      <c r="E334" s="1">
        <v>14</v>
      </c>
      <c r="F334" s="1">
        <v>175873</v>
      </c>
      <c r="G334" s="1">
        <v>2462222</v>
      </c>
    </row>
    <row r="335" spans="1:7" ht="12.5" x14ac:dyDescent="0.25">
      <c r="A335" s="2">
        <v>45677</v>
      </c>
      <c r="B335" s="1" t="s">
        <v>23</v>
      </c>
      <c r="C335" s="1" t="s">
        <v>16</v>
      </c>
      <c r="D335" s="1" t="s">
        <v>17</v>
      </c>
      <c r="E335" s="1">
        <v>37</v>
      </c>
      <c r="F335" s="1">
        <v>443816</v>
      </c>
      <c r="G335" s="1">
        <v>16421192</v>
      </c>
    </row>
    <row r="336" spans="1:7" ht="12.5" x14ac:dyDescent="0.25">
      <c r="A336" s="2">
        <v>45678</v>
      </c>
      <c r="B336" s="1" t="s">
        <v>23</v>
      </c>
      <c r="C336" s="1" t="s">
        <v>11</v>
      </c>
      <c r="D336" s="1" t="s">
        <v>17</v>
      </c>
      <c r="E336" s="1">
        <v>110</v>
      </c>
      <c r="F336" s="1">
        <v>176472</v>
      </c>
      <c r="G336" s="1">
        <v>19411920</v>
      </c>
    </row>
    <row r="337" spans="1:7" ht="12.5" x14ac:dyDescent="0.25">
      <c r="A337" s="2">
        <v>45678</v>
      </c>
      <c r="B337" s="1" t="s">
        <v>23</v>
      </c>
      <c r="C337" s="1" t="s">
        <v>8</v>
      </c>
      <c r="D337" s="1" t="s">
        <v>12</v>
      </c>
      <c r="E337" s="1">
        <v>88</v>
      </c>
      <c r="F337" s="1">
        <v>511946</v>
      </c>
      <c r="G337" s="1">
        <v>45051248</v>
      </c>
    </row>
    <row r="338" spans="1:7" ht="12.5" x14ac:dyDescent="0.25">
      <c r="A338" s="2">
        <v>45678</v>
      </c>
      <c r="B338" s="1" t="s">
        <v>23</v>
      </c>
      <c r="C338" s="1" t="s">
        <v>11</v>
      </c>
      <c r="D338" s="1" t="s">
        <v>14</v>
      </c>
      <c r="E338" s="1">
        <v>101</v>
      </c>
      <c r="F338" s="1">
        <v>248506</v>
      </c>
      <c r="G338" s="1">
        <v>25099106</v>
      </c>
    </row>
    <row r="339" spans="1:7" ht="12.5" x14ac:dyDescent="0.25">
      <c r="A339" s="2">
        <v>45678</v>
      </c>
      <c r="B339" s="1" t="s">
        <v>23</v>
      </c>
      <c r="C339" s="1" t="s">
        <v>8</v>
      </c>
      <c r="D339" s="1" t="s">
        <v>12</v>
      </c>
      <c r="E339" s="1">
        <v>56</v>
      </c>
      <c r="F339" s="1">
        <v>509722</v>
      </c>
      <c r="G339" s="1">
        <v>28544432</v>
      </c>
    </row>
    <row r="340" spans="1:7" ht="12.5" x14ac:dyDescent="0.25">
      <c r="A340" s="2">
        <v>45678</v>
      </c>
      <c r="B340" s="1" t="s">
        <v>23</v>
      </c>
      <c r="C340" s="1" t="s">
        <v>24</v>
      </c>
      <c r="D340" s="1" t="s">
        <v>18</v>
      </c>
      <c r="E340" s="1">
        <v>25</v>
      </c>
      <c r="F340" s="1">
        <v>203283</v>
      </c>
      <c r="G340" s="1">
        <v>5082075</v>
      </c>
    </row>
    <row r="341" spans="1:7" ht="12.5" x14ac:dyDescent="0.25">
      <c r="A341" s="2">
        <v>45678</v>
      </c>
      <c r="B341" s="1" t="s">
        <v>23</v>
      </c>
      <c r="C341" s="1" t="s">
        <v>11</v>
      </c>
      <c r="D341" s="1" t="s">
        <v>9</v>
      </c>
      <c r="E341" s="1">
        <v>63</v>
      </c>
      <c r="F341" s="1">
        <v>441413</v>
      </c>
      <c r="G341" s="1">
        <v>27809019</v>
      </c>
    </row>
    <row r="342" spans="1:7" ht="12.5" x14ac:dyDescent="0.25">
      <c r="A342" s="2">
        <v>45678</v>
      </c>
      <c r="B342" s="1" t="s">
        <v>23</v>
      </c>
      <c r="C342" s="1" t="s">
        <v>11</v>
      </c>
      <c r="D342" s="1" t="s">
        <v>17</v>
      </c>
      <c r="E342" s="1">
        <v>110</v>
      </c>
      <c r="F342" s="1">
        <v>312186</v>
      </c>
      <c r="G342" s="1">
        <v>34340460</v>
      </c>
    </row>
    <row r="343" spans="1:7" ht="12.5" x14ac:dyDescent="0.25">
      <c r="A343" s="2">
        <v>45678</v>
      </c>
      <c r="B343" s="1" t="s">
        <v>23</v>
      </c>
      <c r="C343" s="1" t="s">
        <v>24</v>
      </c>
      <c r="D343" s="1" t="s">
        <v>14</v>
      </c>
      <c r="E343" s="1">
        <v>41</v>
      </c>
      <c r="F343" s="1">
        <v>196626</v>
      </c>
      <c r="G343" s="1">
        <v>8061666</v>
      </c>
    </row>
    <row r="344" spans="1:7" ht="12.5" x14ac:dyDescent="0.25">
      <c r="A344" s="2">
        <v>45678</v>
      </c>
      <c r="B344" s="1" t="s">
        <v>23</v>
      </c>
      <c r="C344" s="1" t="s">
        <v>11</v>
      </c>
      <c r="D344" s="1" t="s">
        <v>17</v>
      </c>
      <c r="E344" s="1">
        <v>5</v>
      </c>
      <c r="F344" s="1">
        <v>475966</v>
      </c>
      <c r="G344" s="1">
        <v>2379830</v>
      </c>
    </row>
    <row r="345" spans="1:7" ht="12.5" x14ac:dyDescent="0.25">
      <c r="A345" s="2">
        <v>45678</v>
      </c>
      <c r="B345" s="1" t="s">
        <v>23</v>
      </c>
      <c r="C345" s="1" t="s">
        <v>8</v>
      </c>
      <c r="D345" s="1" t="s">
        <v>17</v>
      </c>
      <c r="E345" s="1">
        <v>99</v>
      </c>
      <c r="F345" s="1">
        <v>465699</v>
      </c>
      <c r="G345" s="1">
        <v>46104201</v>
      </c>
    </row>
    <row r="346" spans="1:7" ht="12.5" x14ac:dyDescent="0.25">
      <c r="A346" s="2">
        <v>45678</v>
      </c>
      <c r="B346" s="1" t="s">
        <v>23</v>
      </c>
      <c r="C346" s="1" t="s">
        <v>11</v>
      </c>
      <c r="D346" s="1" t="s">
        <v>20</v>
      </c>
      <c r="E346" s="1">
        <v>106</v>
      </c>
      <c r="F346" s="1">
        <v>487602</v>
      </c>
      <c r="G346" s="1">
        <v>51685812</v>
      </c>
    </row>
    <row r="347" spans="1:7" ht="12.5" x14ac:dyDescent="0.25">
      <c r="A347" s="2">
        <v>45678</v>
      </c>
      <c r="B347" s="1" t="s">
        <v>23</v>
      </c>
      <c r="C347" s="1" t="s">
        <v>16</v>
      </c>
      <c r="D347" s="1" t="s">
        <v>9</v>
      </c>
      <c r="E347" s="1">
        <v>17</v>
      </c>
      <c r="F347" s="1">
        <v>384999</v>
      </c>
      <c r="G347" s="1">
        <v>6544983</v>
      </c>
    </row>
    <row r="348" spans="1:7" ht="12.5" x14ac:dyDescent="0.25">
      <c r="A348" s="2">
        <v>45678</v>
      </c>
      <c r="B348" s="1" t="s">
        <v>23</v>
      </c>
      <c r="C348" s="1" t="s">
        <v>16</v>
      </c>
      <c r="D348" s="1" t="s">
        <v>17</v>
      </c>
      <c r="E348" s="1">
        <v>13</v>
      </c>
      <c r="F348" s="1">
        <v>305804</v>
      </c>
      <c r="G348" s="1">
        <v>3975452</v>
      </c>
    </row>
    <row r="349" spans="1:7" ht="12.5" x14ac:dyDescent="0.25">
      <c r="A349" s="2">
        <v>45678</v>
      </c>
      <c r="B349" s="1" t="s">
        <v>23</v>
      </c>
      <c r="C349" s="1" t="s">
        <v>8</v>
      </c>
      <c r="D349" s="1" t="s">
        <v>20</v>
      </c>
      <c r="E349" s="1">
        <v>68</v>
      </c>
      <c r="F349" s="1">
        <v>44701</v>
      </c>
      <c r="G349" s="1">
        <v>3039668</v>
      </c>
    </row>
    <row r="350" spans="1:7" ht="12.5" x14ac:dyDescent="0.25">
      <c r="A350" s="2">
        <v>45678</v>
      </c>
      <c r="B350" s="1" t="s">
        <v>23</v>
      </c>
      <c r="C350" s="1" t="s">
        <v>22</v>
      </c>
      <c r="D350" s="1" t="s">
        <v>9</v>
      </c>
      <c r="E350" s="1">
        <v>105</v>
      </c>
      <c r="F350" s="1">
        <v>252615</v>
      </c>
      <c r="G350" s="1">
        <v>26524575</v>
      </c>
    </row>
    <row r="351" spans="1:7" ht="12.5" x14ac:dyDescent="0.25">
      <c r="A351" s="2">
        <v>45678</v>
      </c>
      <c r="B351" s="1" t="s">
        <v>23</v>
      </c>
      <c r="C351" s="1" t="s">
        <v>8</v>
      </c>
      <c r="D351" s="1" t="s">
        <v>17</v>
      </c>
      <c r="E351" s="1">
        <v>29</v>
      </c>
      <c r="F351" s="1">
        <v>337304</v>
      </c>
      <c r="G351" s="1">
        <v>9781816</v>
      </c>
    </row>
    <row r="352" spans="1:7" ht="12.5" x14ac:dyDescent="0.25">
      <c r="A352" s="2">
        <v>45678</v>
      </c>
      <c r="B352" s="1" t="s">
        <v>10</v>
      </c>
      <c r="C352" s="1" t="s">
        <v>24</v>
      </c>
      <c r="D352" s="1" t="s">
        <v>17</v>
      </c>
      <c r="E352" s="1">
        <v>76</v>
      </c>
      <c r="F352" s="1">
        <v>104377</v>
      </c>
      <c r="G352" s="1">
        <v>7932652</v>
      </c>
    </row>
    <row r="353" spans="1:7" ht="12.5" x14ac:dyDescent="0.25">
      <c r="A353" s="2">
        <v>45679</v>
      </c>
      <c r="B353" s="1" t="s">
        <v>10</v>
      </c>
      <c r="C353" s="1" t="s">
        <v>11</v>
      </c>
      <c r="D353" s="1" t="s">
        <v>18</v>
      </c>
      <c r="E353" s="1">
        <v>11</v>
      </c>
      <c r="F353" s="1">
        <v>322250</v>
      </c>
      <c r="G353" s="1">
        <v>3544750</v>
      </c>
    </row>
    <row r="354" spans="1:7" ht="12.5" x14ac:dyDescent="0.25">
      <c r="A354" s="2">
        <v>45679</v>
      </c>
      <c r="B354" s="1" t="s">
        <v>10</v>
      </c>
      <c r="C354" s="1" t="s">
        <v>8</v>
      </c>
      <c r="D354" s="1" t="s">
        <v>20</v>
      </c>
      <c r="E354" s="1">
        <v>38</v>
      </c>
      <c r="F354" s="1">
        <v>145044</v>
      </c>
      <c r="G354" s="1">
        <v>5511672</v>
      </c>
    </row>
    <row r="355" spans="1:7" ht="12.5" x14ac:dyDescent="0.25">
      <c r="A355" s="2">
        <v>45679</v>
      </c>
      <c r="B355" s="1" t="s">
        <v>10</v>
      </c>
      <c r="C355" s="1" t="s">
        <v>24</v>
      </c>
      <c r="D355" s="1" t="s">
        <v>18</v>
      </c>
      <c r="E355" s="1">
        <v>70</v>
      </c>
      <c r="F355" s="1">
        <v>413119</v>
      </c>
      <c r="G355" s="1">
        <v>28918330</v>
      </c>
    </row>
    <row r="356" spans="1:7" ht="12.5" x14ac:dyDescent="0.25">
      <c r="A356" s="2">
        <v>45679</v>
      </c>
      <c r="B356" s="1" t="s">
        <v>10</v>
      </c>
      <c r="C356" s="1" t="s">
        <v>11</v>
      </c>
      <c r="D356" s="1" t="s">
        <v>14</v>
      </c>
      <c r="E356" s="1">
        <v>77</v>
      </c>
      <c r="F356" s="1">
        <v>135991</v>
      </c>
      <c r="G356" s="1">
        <v>10471307</v>
      </c>
    </row>
    <row r="357" spans="1:7" ht="12.5" x14ac:dyDescent="0.25">
      <c r="A357" s="2">
        <v>45679</v>
      </c>
      <c r="B357" s="1" t="s">
        <v>10</v>
      </c>
      <c r="C357" s="1" t="s">
        <v>11</v>
      </c>
      <c r="D357" s="1" t="s">
        <v>20</v>
      </c>
      <c r="E357" s="1">
        <v>115</v>
      </c>
      <c r="F357" s="1">
        <v>138322</v>
      </c>
      <c r="G357" s="1">
        <v>15907030</v>
      </c>
    </row>
    <row r="358" spans="1:7" ht="12.5" x14ac:dyDescent="0.25">
      <c r="A358" s="2">
        <v>45679</v>
      </c>
      <c r="B358" s="1" t="s">
        <v>10</v>
      </c>
      <c r="C358" s="1" t="s">
        <v>22</v>
      </c>
      <c r="D358" s="1" t="s">
        <v>9</v>
      </c>
      <c r="E358" s="1">
        <v>77</v>
      </c>
      <c r="F358" s="1">
        <v>109616</v>
      </c>
      <c r="G358" s="1">
        <v>8440432</v>
      </c>
    </row>
    <row r="359" spans="1:7" ht="12.5" x14ac:dyDescent="0.25">
      <c r="A359" s="2">
        <v>45679</v>
      </c>
      <c r="B359" s="1" t="s">
        <v>10</v>
      </c>
      <c r="C359" s="1" t="s">
        <v>8</v>
      </c>
      <c r="D359" s="1" t="s">
        <v>17</v>
      </c>
      <c r="E359" s="1">
        <v>97</v>
      </c>
      <c r="F359" s="1">
        <v>500042</v>
      </c>
      <c r="G359" s="1">
        <v>48504074</v>
      </c>
    </row>
    <row r="360" spans="1:7" ht="12.5" x14ac:dyDescent="0.25">
      <c r="A360" s="2">
        <v>45679</v>
      </c>
      <c r="B360" s="1" t="s">
        <v>10</v>
      </c>
      <c r="C360" s="1" t="s">
        <v>11</v>
      </c>
      <c r="D360" s="1" t="s">
        <v>9</v>
      </c>
      <c r="E360" s="1">
        <v>107</v>
      </c>
      <c r="F360" s="1">
        <v>530547</v>
      </c>
      <c r="G360" s="1">
        <v>56768529</v>
      </c>
    </row>
    <row r="361" spans="1:7" ht="12.5" x14ac:dyDescent="0.25">
      <c r="A361" s="2">
        <v>45679</v>
      </c>
      <c r="B361" s="1" t="s">
        <v>10</v>
      </c>
      <c r="C361" s="1" t="s">
        <v>16</v>
      </c>
      <c r="D361" s="1" t="s">
        <v>12</v>
      </c>
      <c r="E361" s="1">
        <v>60</v>
      </c>
      <c r="F361" s="1">
        <v>204692</v>
      </c>
      <c r="G361" s="1">
        <v>12281520</v>
      </c>
    </row>
    <row r="362" spans="1:7" ht="12.5" x14ac:dyDescent="0.25">
      <c r="A362" s="2">
        <v>45679</v>
      </c>
      <c r="B362" s="1" t="s">
        <v>10</v>
      </c>
      <c r="C362" s="1" t="s">
        <v>24</v>
      </c>
      <c r="D362" s="1" t="s">
        <v>9</v>
      </c>
      <c r="E362" s="1">
        <v>115</v>
      </c>
      <c r="F362" s="1">
        <v>88249</v>
      </c>
      <c r="G362" s="1">
        <v>10148635</v>
      </c>
    </row>
    <row r="363" spans="1:7" ht="12.5" x14ac:dyDescent="0.25">
      <c r="A363" s="2">
        <v>45679</v>
      </c>
      <c r="B363" s="1" t="s">
        <v>10</v>
      </c>
      <c r="C363" s="1" t="s">
        <v>11</v>
      </c>
      <c r="D363" s="1" t="s">
        <v>20</v>
      </c>
      <c r="E363" s="1">
        <v>30</v>
      </c>
      <c r="F363" s="1">
        <v>52534</v>
      </c>
      <c r="G363" s="1">
        <v>1576020</v>
      </c>
    </row>
    <row r="364" spans="1:7" ht="12.5" x14ac:dyDescent="0.25">
      <c r="A364" s="2">
        <v>45679</v>
      </c>
      <c r="B364" s="1" t="s">
        <v>10</v>
      </c>
      <c r="C364" s="1" t="s">
        <v>8</v>
      </c>
      <c r="D364" s="1" t="s">
        <v>12</v>
      </c>
      <c r="E364" s="1">
        <v>2</v>
      </c>
      <c r="F364" s="1">
        <v>452061</v>
      </c>
      <c r="G364" s="1">
        <v>904122</v>
      </c>
    </row>
    <row r="365" spans="1:7" ht="12.5" x14ac:dyDescent="0.25">
      <c r="A365" s="2">
        <v>45679</v>
      </c>
      <c r="B365" s="1" t="s">
        <v>10</v>
      </c>
      <c r="C365" s="1" t="s">
        <v>8</v>
      </c>
      <c r="D365" s="1" t="s">
        <v>14</v>
      </c>
      <c r="E365" s="1">
        <v>39</v>
      </c>
      <c r="F365" s="1">
        <v>85713</v>
      </c>
      <c r="G365" s="1">
        <v>3342807</v>
      </c>
    </row>
    <row r="366" spans="1:7" ht="12.5" x14ac:dyDescent="0.25">
      <c r="A366" s="2">
        <v>45679</v>
      </c>
      <c r="B366" s="1" t="s">
        <v>10</v>
      </c>
      <c r="C366" s="1" t="s">
        <v>22</v>
      </c>
      <c r="D366" s="1" t="s">
        <v>20</v>
      </c>
      <c r="E366" s="1">
        <v>113</v>
      </c>
      <c r="F366" s="1">
        <v>138232</v>
      </c>
      <c r="G366" s="1">
        <v>15620216</v>
      </c>
    </row>
    <row r="367" spans="1:7" ht="12.5" x14ac:dyDescent="0.25">
      <c r="A367" s="2">
        <v>45679</v>
      </c>
      <c r="B367" s="1" t="s">
        <v>10</v>
      </c>
      <c r="C367" s="1" t="s">
        <v>8</v>
      </c>
      <c r="D367" s="1" t="s">
        <v>14</v>
      </c>
      <c r="E367" s="1">
        <v>64</v>
      </c>
      <c r="F367" s="1">
        <v>335996</v>
      </c>
      <c r="G367" s="1">
        <v>21503744</v>
      </c>
    </row>
    <row r="368" spans="1:7" ht="12.5" x14ac:dyDescent="0.25">
      <c r="A368" s="2">
        <v>45680</v>
      </c>
      <c r="B368" s="1" t="s">
        <v>10</v>
      </c>
      <c r="C368" s="1" t="s">
        <v>22</v>
      </c>
      <c r="D368" s="1" t="s">
        <v>17</v>
      </c>
      <c r="E368" s="1">
        <v>30</v>
      </c>
      <c r="F368" s="1">
        <v>513238</v>
      </c>
      <c r="G368" s="1">
        <v>15397140</v>
      </c>
    </row>
    <row r="369" spans="1:7" ht="12.5" x14ac:dyDescent="0.25">
      <c r="A369" s="2">
        <v>45680</v>
      </c>
      <c r="B369" s="1" t="s">
        <v>10</v>
      </c>
      <c r="C369" s="1" t="s">
        <v>24</v>
      </c>
      <c r="D369" s="1" t="s">
        <v>14</v>
      </c>
      <c r="E369" s="1">
        <v>63</v>
      </c>
      <c r="F369" s="1">
        <v>273579</v>
      </c>
      <c r="G369" s="1">
        <v>17235477</v>
      </c>
    </row>
    <row r="370" spans="1:7" ht="12.5" x14ac:dyDescent="0.25">
      <c r="A370" s="2">
        <v>45680</v>
      </c>
      <c r="B370" s="1" t="s">
        <v>10</v>
      </c>
      <c r="C370" s="1" t="s">
        <v>11</v>
      </c>
      <c r="D370" s="1" t="s">
        <v>18</v>
      </c>
      <c r="E370" s="1">
        <v>93</v>
      </c>
      <c r="F370" s="1">
        <v>448755</v>
      </c>
      <c r="G370" s="1">
        <v>41734215</v>
      </c>
    </row>
    <row r="371" spans="1:7" ht="12.5" x14ac:dyDescent="0.25">
      <c r="A371" s="2">
        <v>45680</v>
      </c>
      <c r="B371" s="1" t="s">
        <v>10</v>
      </c>
      <c r="C371" s="1" t="s">
        <v>22</v>
      </c>
      <c r="D371" s="1" t="s">
        <v>14</v>
      </c>
      <c r="E371" s="1">
        <v>64</v>
      </c>
      <c r="F371" s="1">
        <v>336032</v>
      </c>
      <c r="G371" s="1">
        <v>21506048</v>
      </c>
    </row>
    <row r="372" spans="1:7" ht="12.5" x14ac:dyDescent="0.25">
      <c r="A372" s="2">
        <v>45680</v>
      </c>
      <c r="B372" s="1" t="s">
        <v>10</v>
      </c>
      <c r="C372" s="1" t="s">
        <v>8</v>
      </c>
      <c r="D372" s="1" t="s">
        <v>9</v>
      </c>
      <c r="E372" s="1">
        <v>22</v>
      </c>
      <c r="F372" s="1">
        <v>293097</v>
      </c>
      <c r="G372" s="1">
        <v>6448134</v>
      </c>
    </row>
    <row r="373" spans="1:7" ht="12.5" x14ac:dyDescent="0.25">
      <c r="A373" s="2">
        <v>45680</v>
      </c>
      <c r="B373" s="1" t="s">
        <v>10</v>
      </c>
      <c r="C373" s="1" t="s">
        <v>24</v>
      </c>
      <c r="D373" s="1" t="s">
        <v>12</v>
      </c>
      <c r="E373" s="1">
        <v>50</v>
      </c>
      <c r="F373" s="1">
        <v>440783</v>
      </c>
      <c r="G373" s="1">
        <v>22039150</v>
      </c>
    </row>
    <row r="374" spans="1:7" ht="12.5" x14ac:dyDescent="0.25">
      <c r="A374" s="2">
        <v>45680</v>
      </c>
      <c r="B374" s="1" t="s">
        <v>10</v>
      </c>
      <c r="C374" s="1" t="s">
        <v>8</v>
      </c>
      <c r="D374" s="1" t="s">
        <v>18</v>
      </c>
      <c r="E374" s="1">
        <v>36</v>
      </c>
      <c r="F374" s="1">
        <v>494090</v>
      </c>
      <c r="G374" s="1">
        <v>17787240</v>
      </c>
    </row>
    <row r="375" spans="1:7" ht="12.5" x14ac:dyDescent="0.25">
      <c r="A375" s="2">
        <v>45680</v>
      </c>
      <c r="B375" s="1" t="s">
        <v>10</v>
      </c>
      <c r="C375" s="1" t="s">
        <v>11</v>
      </c>
      <c r="D375" s="1" t="s">
        <v>9</v>
      </c>
      <c r="E375" s="1">
        <v>76</v>
      </c>
      <c r="F375" s="1">
        <v>542101</v>
      </c>
      <c r="G375" s="1">
        <v>41199676</v>
      </c>
    </row>
    <row r="376" spans="1:7" ht="12.5" x14ac:dyDescent="0.25">
      <c r="A376" s="2">
        <v>45680</v>
      </c>
      <c r="B376" s="1" t="s">
        <v>10</v>
      </c>
      <c r="C376" s="1" t="s">
        <v>22</v>
      </c>
      <c r="D376" s="1" t="s">
        <v>20</v>
      </c>
      <c r="E376" s="1">
        <v>58</v>
      </c>
      <c r="F376" s="1">
        <v>237286</v>
      </c>
      <c r="G376" s="1">
        <v>13762588</v>
      </c>
    </row>
    <row r="377" spans="1:7" ht="12.5" x14ac:dyDescent="0.25">
      <c r="A377" s="2">
        <v>45680</v>
      </c>
      <c r="B377" s="1" t="s">
        <v>10</v>
      </c>
      <c r="C377" s="1" t="s">
        <v>16</v>
      </c>
      <c r="D377" s="1" t="s">
        <v>17</v>
      </c>
      <c r="E377" s="1">
        <v>98</v>
      </c>
      <c r="F377" s="1">
        <v>242732</v>
      </c>
      <c r="G377" s="1">
        <v>23787736</v>
      </c>
    </row>
    <row r="378" spans="1:7" ht="12.5" x14ac:dyDescent="0.25">
      <c r="A378" s="2">
        <v>45680</v>
      </c>
      <c r="B378" s="1" t="s">
        <v>10</v>
      </c>
      <c r="C378" s="1" t="s">
        <v>22</v>
      </c>
      <c r="D378" s="1" t="s">
        <v>12</v>
      </c>
      <c r="E378" s="1">
        <v>13</v>
      </c>
      <c r="F378" s="1">
        <v>223030</v>
      </c>
      <c r="G378" s="1">
        <v>2899390</v>
      </c>
    </row>
    <row r="379" spans="1:7" ht="12.5" x14ac:dyDescent="0.25">
      <c r="A379" s="2">
        <v>45680</v>
      </c>
      <c r="B379" s="1" t="s">
        <v>10</v>
      </c>
      <c r="C379" s="1" t="s">
        <v>11</v>
      </c>
      <c r="D379" s="1" t="s">
        <v>14</v>
      </c>
      <c r="E379" s="1">
        <v>75</v>
      </c>
      <c r="F379" s="1">
        <v>295555</v>
      </c>
      <c r="G379" s="1">
        <v>22166625</v>
      </c>
    </row>
    <row r="380" spans="1:7" ht="12.5" x14ac:dyDescent="0.25">
      <c r="A380" s="2">
        <v>45680</v>
      </c>
      <c r="B380" s="1" t="s">
        <v>10</v>
      </c>
      <c r="C380" s="1" t="s">
        <v>8</v>
      </c>
      <c r="D380" s="1" t="s">
        <v>17</v>
      </c>
      <c r="E380" s="1">
        <v>22</v>
      </c>
      <c r="F380" s="1">
        <v>294186</v>
      </c>
      <c r="G380" s="1">
        <v>6472092</v>
      </c>
    </row>
    <row r="381" spans="1:7" ht="12.5" x14ac:dyDescent="0.25">
      <c r="A381" s="2">
        <v>45680</v>
      </c>
      <c r="B381" s="1" t="s">
        <v>10</v>
      </c>
      <c r="C381" s="1" t="s">
        <v>16</v>
      </c>
      <c r="D381" s="1" t="s">
        <v>12</v>
      </c>
      <c r="E381" s="1">
        <v>108</v>
      </c>
      <c r="F381" s="1">
        <v>234695</v>
      </c>
      <c r="G381" s="1">
        <v>25347060</v>
      </c>
    </row>
    <row r="382" spans="1:7" ht="12.5" x14ac:dyDescent="0.25">
      <c r="A382" s="2">
        <v>45680</v>
      </c>
      <c r="B382" s="1" t="s">
        <v>10</v>
      </c>
      <c r="C382" s="1" t="s">
        <v>11</v>
      </c>
      <c r="D382" s="1" t="s">
        <v>9</v>
      </c>
      <c r="E382" s="1">
        <v>47</v>
      </c>
      <c r="F382" s="1">
        <v>222943</v>
      </c>
      <c r="G382" s="1">
        <v>10478321</v>
      </c>
    </row>
    <row r="383" spans="1:7" ht="12.5" x14ac:dyDescent="0.25">
      <c r="A383" s="2">
        <v>45680</v>
      </c>
      <c r="B383" s="1" t="s">
        <v>10</v>
      </c>
      <c r="C383" s="1" t="s">
        <v>8</v>
      </c>
      <c r="D383" s="1" t="s">
        <v>12</v>
      </c>
      <c r="E383" s="1">
        <v>6</v>
      </c>
      <c r="F383" s="1">
        <v>372130</v>
      </c>
      <c r="G383" s="1">
        <v>2232780</v>
      </c>
    </row>
    <row r="384" spans="1:7" ht="12.5" x14ac:dyDescent="0.25">
      <c r="A384" s="2">
        <v>45681</v>
      </c>
      <c r="B384" s="1" t="s">
        <v>10</v>
      </c>
      <c r="C384" s="1" t="s">
        <v>22</v>
      </c>
      <c r="D384" s="1" t="s">
        <v>20</v>
      </c>
      <c r="E384" s="1">
        <v>1</v>
      </c>
      <c r="F384" s="1">
        <v>251531</v>
      </c>
      <c r="G384" s="1">
        <v>251531</v>
      </c>
    </row>
    <row r="385" spans="1:7" ht="12.5" x14ac:dyDescent="0.25">
      <c r="A385" s="2">
        <v>45681</v>
      </c>
      <c r="B385" s="1" t="s">
        <v>10</v>
      </c>
      <c r="C385" s="1" t="s">
        <v>11</v>
      </c>
      <c r="D385" s="1" t="s">
        <v>18</v>
      </c>
      <c r="E385" s="1">
        <v>35</v>
      </c>
      <c r="F385" s="1">
        <v>248360</v>
      </c>
      <c r="G385" s="1">
        <v>8692600</v>
      </c>
    </row>
    <row r="386" spans="1:7" ht="12.5" x14ac:dyDescent="0.25">
      <c r="A386" s="2">
        <v>45681</v>
      </c>
      <c r="B386" s="1" t="s">
        <v>10</v>
      </c>
      <c r="C386" s="1" t="s">
        <v>24</v>
      </c>
      <c r="D386" s="1" t="s">
        <v>9</v>
      </c>
      <c r="E386" s="1">
        <v>15</v>
      </c>
      <c r="F386" s="1">
        <v>426235</v>
      </c>
      <c r="G386" s="1">
        <v>6393525</v>
      </c>
    </row>
    <row r="387" spans="1:7" ht="12.5" x14ac:dyDescent="0.25">
      <c r="A387" s="2">
        <v>45681</v>
      </c>
      <c r="B387" s="1" t="s">
        <v>10</v>
      </c>
      <c r="C387" s="1" t="s">
        <v>8</v>
      </c>
      <c r="D387" s="1" t="s">
        <v>12</v>
      </c>
      <c r="E387" s="1">
        <v>46</v>
      </c>
      <c r="F387" s="1">
        <v>387816</v>
      </c>
      <c r="G387" s="1">
        <v>17839536</v>
      </c>
    </row>
    <row r="388" spans="1:7" ht="12.5" x14ac:dyDescent="0.25">
      <c r="A388" s="2">
        <v>45681</v>
      </c>
      <c r="B388" s="1" t="s">
        <v>10</v>
      </c>
      <c r="C388" s="1" t="s">
        <v>11</v>
      </c>
      <c r="D388" s="1" t="s">
        <v>20</v>
      </c>
      <c r="E388" s="1">
        <v>8</v>
      </c>
      <c r="F388" s="1">
        <v>355114</v>
      </c>
      <c r="G388" s="1">
        <v>2840912</v>
      </c>
    </row>
    <row r="389" spans="1:7" ht="12.5" x14ac:dyDescent="0.25">
      <c r="A389" s="2">
        <v>45681</v>
      </c>
      <c r="B389" s="1" t="s">
        <v>10</v>
      </c>
      <c r="C389" s="1" t="s">
        <v>8</v>
      </c>
      <c r="D389" s="1" t="s">
        <v>18</v>
      </c>
      <c r="E389" s="1">
        <v>71</v>
      </c>
      <c r="F389" s="1">
        <v>248260</v>
      </c>
      <c r="G389" s="1">
        <v>17626460</v>
      </c>
    </row>
    <row r="390" spans="1:7" ht="12.5" x14ac:dyDescent="0.25">
      <c r="A390" s="2">
        <v>45681</v>
      </c>
      <c r="B390" s="1" t="s">
        <v>10</v>
      </c>
      <c r="C390" s="1" t="s">
        <v>24</v>
      </c>
      <c r="D390" s="1" t="s">
        <v>14</v>
      </c>
      <c r="E390" s="1">
        <v>3</v>
      </c>
      <c r="F390" s="1">
        <v>340904</v>
      </c>
      <c r="G390" s="1">
        <v>1022712</v>
      </c>
    </row>
    <row r="391" spans="1:7" ht="12.5" x14ac:dyDescent="0.25">
      <c r="A391" s="2">
        <v>45681</v>
      </c>
      <c r="B391" s="1" t="s">
        <v>10</v>
      </c>
      <c r="C391" s="1" t="s">
        <v>8</v>
      </c>
      <c r="D391" s="1" t="s">
        <v>18</v>
      </c>
      <c r="E391" s="1">
        <v>17</v>
      </c>
      <c r="F391" s="1">
        <v>89083</v>
      </c>
      <c r="G391" s="1">
        <v>1514411</v>
      </c>
    </row>
    <row r="392" spans="1:7" ht="12.5" x14ac:dyDescent="0.25">
      <c r="A392" s="2">
        <v>45681</v>
      </c>
      <c r="B392" s="1" t="s">
        <v>10</v>
      </c>
      <c r="C392" s="1" t="s">
        <v>8</v>
      </c>
      <c r="D392" s="1" t="s">
        <v>17</v>
      </c>
      <c r="E392" s="1">
        <v>38</v>
      </c>
      <c r="F392" s="1">
        <v>264346</v>
      </c>
      <c r="G392" s="1">
        <v>10045148</v>
      </c>
    </row>
    <row r="393" spans="1:7" ht="12.5" x14ac:dyDescent="0.25">
      <c r="A393" s="2">
        <v>45681</v>
      </c>
      <c r="B393" s="1" t="s">
        <v>10</v>
      </c>
      <c r="C393" s="1" t="s">
        <v>11</v>
      </c>
      <c r="D393" s="1" t="s">
        <v>14</v>
      </c>
      <c r="E393" s="1">
        <v>18</v>
      </c>
      <c r="F393" s="1">
        <v>167661</v>
      </c>
      <c r="G393" s="1">
        <v>3017898</v>
      </c>
    </row>
    <row r="394" spans="1:7" ht="12.5" x14ac:dyDescent="0.25">
      <c r="A394" s="2">
        <v>45681</v>
      </c>
      <c r="B394" s="1" t="s">
        <v>10</v>
      </c>
      <c r="C394" s="1" t="s">
        <v>8</v>
      </c>
      <c r="D394" s="1" t="s">
        <v>17</v>
      </c>
      <c r="E394" s="1">
        <v>95</v>
      </c>
      <c r="F394" s="1">
        <v>16154</v>
      </c>
      <c r="G394" s="1">
        <v>1534630</v>
      </c>
    </row>
    <row r="395" spans="1:7" ht="12.5" x14ac:dyDescent="0.25">
      <c r="A395" s="2">
        <v>45681</v>
      </c>
      <c r="B395" s="1" t="s">
        <v>10</v>
      </c>
      <c r="C395" s="1" t="s">
        <v>8</v>
      </c>
      <c r="D395" s="1" t="s">
        <v>9</v>
      </c>
      <c r="E395" s="1">
        <v>102</v>
      </c>
      <c r="F395" s="1">
        <v>455864</v>
      </c>
      <c r="G395" s="1">
        <v>46498128</v>
      </c>
    </row>
    <row r="396" spans="1:7" ht="12.5" x14ac:dyDescent="0.25">
      <c r="A396" s="2">
        <v>45681</v>
      </c>
      <c r="B396" s="1" t="s">
        <v>10</v>
      </c>
      <c r="C396" s="1" t="s">
        <v>16</v>
      </c>
      <c r="D396" s="1" t="s">
        <v>17</v>
      </c>
      <c r="E396" s="1">
        <v>51</v>
      </c>
      <c r="F396" s="1">
        <v>446624</v>
      </c>
      <c r="G396" s="1">
        <v>22777824</v>
      </c>
    </row>
    <row r="397" spans="1:7" ht="12.5" x14ac:dyDescent="0.25">
      <c r="A397" s="2">
        <v>45681</v>
      </c>
      <c r="B397" s="1" t="s">
        <v>10</v>
      </c>
      <c r="C397" s="1" t="s">
        <v>16</v>
      </c>
      <c r="D397" s="1" t="s">
        <v>14</v>
      </c>
      <c r="E397" s="1">
        <v>32</v>
      </c>
      <c r="F397" s="1">
        <v>255198</v>
      </c>
      <c r="G397" s="1">
        <v>8166336</v>
      </c>
    </row>
    <row r="398" spans="1:7" ht="12.5" x14ac:dyDescent="0.25">
      <c r="A398" s="2">
        <v>45681</v>
      </c>
      <c r="B398" s="1" t="s">
        <v>10</v>
      </c>
      <c r="C398" s="1" t="s">
        <v>16</v>
      </c>
      <c r="D398" s="1" t="s">
        <v>20</v>
      </c>
      <c r="E398" s="1">
        <v>92</v>
      </c>
      <c r="F398" s="1">
        <v>320931</v>
      </c>
      <c r="G398" s="1">
        <v>29525652</v>
      </c>
    </row>
    <row r="399" spans="1:7" ht="12.5" x14ac:dyDescent="0.25">
      <c r="A399" s="2">
        <v>45681</v>
      </c>
      <c r="B399" s="1" t="s">
        <v>10</v>
      </c>
      <c r="C399" s="1" t="s">
        <v>24</v>
      </c>
      <c r="D399" s="1" t="s">
        <v>17</v>
      </c>
      <c r="E399" s="1">
        <v>97</v>
      </c>
      <c r="F399" s="1">
        <v>278512</v>
      </c>
      <c r="G399" s="1">
        <v>27015664</v>
      </c>
    </row>
    <row r="400" spans="1:7" ht="12.5" x14ac:dyDescent="0.25">
      <c r="A400" s="2">
        <v>45681</v>
      </c>
      <c r="B400" s="1" t="s">
        <v>10</v>
      </c>
      <c r="C400" s="1" t="s">
        <v>11</v>
      </c>
      <c r="D400" s="1" t="s">
        <v>20</v>
      </c>
      <c r="E400" s="1">
        <v>30</v>
      </c>
      <c r="F400" s="1">
        <v>229724</v>
      </c>
      <c r="G400" s="1">
        <v>6891720</v>
      </c>
    </row>
    <row r="401" spans="1:7" ht="12.5" x14ac:dyDescent="0.25">
      <c r="A401" s="2">
        <v>45682</v>
      </c>
      <c r="B401" s="1" t="s">
        <v>10</v>
      </c>
      <c r="C401" s="1" t="s">
        <v>16</v>
      </c>
      <c r="D401" s="1" t="s">
        <v>20</v>
      </c>
      <c r="E401" s="1">
        <v>103</v>
      </c>
      <c r="F401" s="1">
        <v>60861</v>
      </c>
      <c r="G401" s="1">
        <v>6268683</v>
      </c>
    </row>
    <row r="402" spans="1:7" ht="12.5" x14ac:dyDescent="0.25">
      <c r="A402" s="2">
        <v>45682</v>
      </c>
      <c r="B402" s="1" t="s">
        <v>10</v>
      </c>
      <c r="C402" s="1" t="s">
        <v>8</v>
      </c>
      <c r="D402" s="1" t="s">
        <v>17</v>
      </c>
      <c r="E402" s="1">
        <v>98</v>
      </c>
      <c r="F402" s="1">
        <v>19078</v>
      </c>
      <c r="G402" s="1">
        <v>1869644</v>
      </c>
    </row>
    <row r="403" spans="1:7" ht="12.5" x14ac:dyDescent="0.25">
      <c r="A403" s="2">
        <v>45682</v>
      </c>
      <c r="B403" s="1" t="s">
        <v>10</v>
      </c>
      <c r="C403" s="1" t="s">
        <v>22</v>
      </c>
      <c r="D403" s="1" t="s">
        <v>14</v>
      </c>
      <c r="E403" s="1">
        <v>61</v>
      </c>
      <c r="F403" s="1">
        <v>405141</v>
      </c>
      <c r="G403" s="1">
        <v>24713601</v>
      </c>
    </row>
    <row r="404" spans="1:7" ht="12.5" x14ac:dyDescent="0.25">
      <c r="A404" s="2">
        <v>45682</v>
      </c>
      <c r="B404" s="1" t="s">
        <v>10</v>
      </c>
      <c r="C404" s="1" t="s">
        <v>8</v>
      </c>
      <c r="D404" s="1" t="s">
        <v>20</v>
      </c>
      <c r="E404" s="1">
        <v>103</v>
      </c>
      <c r="F404" s="1">
        <v>167087</v>
      </c>
      <c r="G404" s="1">
        <v>17209961</v>
      </c>
    </row>
    <row r="405" spans="1:7" ht="12.5" x14ac:dyDescent="0.25">
      <c r="A405" s="2">
        <v>45682</v>
      </c>
      <c r="B405" s="1" t="s">
        <v>10</v>
      </c>
      <c r="C405" s="1" t="s">
        <v>8</v>
      </c>
      <c r="D405" s="1" t="s">
        <v>18</v>
      </c>
      <c r="E405" s="1">
        <v>8</v>
      </c>
      <c r="F405" s="1">
        <v>374359</v>
      </c>
      <c r="G405" s="1">
        <v>2994872</v>
      </c>
    </row>
    <row r="406" spans="1:7" ht="12.5" x14ac:dyDescent="0.25">
      <c r="A406" s="2">
        <v>45682</v>
      </c>
      <c r="B406" s="1" t="s">
        <v>10</v>
      </c>
      <c r="C406" s="1" t="s">
        <v>16</v>
      </c>
      <c r="D406" s="1" t="s">
        <v>9</v>
      </c>
      <c r="E406" s="1">
        <v>84</v>
      </c>
      <c r="F406" s="1">
        <v>416845</v>
      </c>
      <c r="G406" s="1">
        <v>35014980</v>
      </c>
    </row>
    <row r="407" spans="1:7" ht="12.5" x14ac:dyDescent="0.25">
      <c r="A407" s="2">
        <v>45682</v>
      </c>
      <c r="B407" s="1" t="s">
        <v>10</v>
      </c>
      <c r="C407" s="1" t="s">
        <v>8</v>
      </c>
      <c r="D407" s="1" t="s">
        <v>18</v>
      </c>
      <c r="E407" s="1">
        <v>7</v>
      </c>
      <c r="F407" s="1">
        <v>187235</v>
      </c>
      <c r="G407" s="1">
        <v>1310645</v>
      </c>
    </row>
    <row r="408" spans="1:7" ht="12.5" x14ac:dyDescent="0.25">
      <c r="A408" s="2">
        <v>45682</v>
      </c>
      <c r="B408" s="1" t="s">
        <v>10</v>
      </c>
      <c r="C408" s="1" t="s">
        <v>16</v>
      </c>
      <c r="D408" s="1" t="s">
        <v>17</v>
      </c>
      <c r="E408" s="1">
        <v>58</v>
      </c>
      <c r="F408" s="1">
        <v>108818</v>
      </c>
      <c r="G408" s="1">
        <v>6311444</v>
      </c>
    </row>
    <row r="409" spans="1:7" ht="12.5" x14ac:dyDescent="0.25">
      <c r="A409" s="2">
        <v>45682</v>
      </c>
      <c r="B409" s="1" t="s">
        <v>10</v>
      </c>
      <c r="C409" s="1" t="s">
        <v>8</v>
      </c>
      <c r="D409" s="1" t="s">
        <v>14</v>
      </c>
      <c r="E409" s="1">
        <v>106</v>
      </c>
      <c r="F409" s="1">
        <v>383706</v>
      </c>
      <c r="G409" s="1">
        <v>40672836</v>
      </c>
    </row>
    <row r="410" spans="1:7" ht="12.5" x14ac:dyDescent="0.25">
      <c r="A410" s="2">
        <v>45682</v>
      </c>
      <c r="B410" s="1" t="s">
        <v>10</v>
      </c>
      <c r="C410" s="1" t="s">
        <v>8</v>
      </c>
      <c r="D410" s="1" t="s">
        <v>12</v>
      </c>
      <c r="E410" s="1">
        <v>87</v>
      </c>
      <c r="F410" s="1">
        <v>529052</v>
      </c>
      <c r="G410" s="1">
        <v>46027524</v>
      </c>
    </row>
    <row r="411" spans="1:7" ht="12.5" x14ac:dyDescent="0.25">
      <c r="A411" s="2">
        <v>45682</v>
      </c>
      <c r="B411" s="1" t="s">
        <v>10</v>
      </c>
      <c r="C411" s="1" t="s">
        <v>22</v>
      </c>
      <c r="D411" s="1" t="s">
        <v>18</v>
      </c>
      <c r="E411" s="1">
        <v>19</v>
      </c>
      <c r="F411" s="1">
        <v>161094</v>
      </c>
      <c r="G411" s="1">
        <v>3060786</v>
      </c>
    </row>
    <row r="412" spans="1:7" ht="12.5" x14ac:dyDescent="0.25">
      <c r="A412" s="2">
        <v>45682</v>
      </c>
      <c r="B412" s="1" t="s">
        <v>10</v>
      </c>
      <c r="C412" s="1" t="s">
        <v>11</v>
      </c>
      <c r="D412" s="1" t="s">
        <v>12</v>
      </c>
      <c r="E412" s="1">
        <v>8</v>
      </c>
      <c r="F412" s="1">
        <v>38380</v>
      </c>
      <c r="G412" s="1">
        <v>307040</v>
      </c>
    </row>
    <row r="413" spans="1:7" ht="12.5" x14ac:dyDescent="0.25">
      <c r="A413" s="2">
        <v>45682</v>
      </c>
      <c r="B413" s="1" t="s">
        <v>10</v>
      </c>
      <c r="C413" s="1" t="s">
        <v>8</v>
      </c>
      <c r="D413" s="1" t="s">
        <v>14</v>
      </c>
      <c r="E413" s="1">
        <v>32</v>
      </c>
      <c r="F413" s="1">
        <v>230971</v>
      </c>
      <c r="G413" s="1">
        <v>7391072</v>
      </c>
    </row>
    <row r="414" spans="1:7" ht="12.5" x14ac:dyDescent="0.25">
      <c r="A414" s="2">
        <v>45682</v>
      </c>
      <c r="B414" s="1" t="s">
        <v>10</v>
      </c>
      <c r="C414" s="1" t="s">
        <v>24</v>
      </c>
      <c r="D414" s="1" t="s">
        <v>17</v>
      </c>
      <c r="E414" s="1">
        <v>83</v>
      </c>
      <c r="F414" s="1">
        <v>178484</v>
      </c>
      <c r="G414" s="1">
        <v>14814172</v>
      </c>
    </row>
    <row r="415" spans="1:7" ht="12.5" x14ac:dyDescent="0.25">
      <c r="A415" s="2">
        <v>45682</v>
      </c>
      <c r="B415" s="1" t="s">
        <v>10</v>
      </c>
      <c r="C415" s="1" t="s">
        <v>22</v>
      </c>
      <c r="D415" s="1" t="s">
        <v>9</v>
      </c>
      <c r="E415" s="1">
        <v>3</v>
      </c>
      <c r="F415" s="1">
        <v>351705</v>
      </c>
      <c r="G415" s="1">
        <v>1055115</v>
      </c>
    </row>
    <row r="416" spans="1:7" ht="12.5" x14ac:dyDescent="0.25">
      <c r="A416" s="2">
        <v>45682</v>
      </c>
      <c r="B416" s="1" t="s">
        <v>10</v>
      </c>
      <c r="C416" s="1" t="s">
        <v>11</v>
      </c>
      <c r="D416" s="1" t="s">
        <v>18</v>
      </c>
      <c r="E416" s="1">
        <v>93</v>
      </c>
      <c r="F416" s="1">
        <v>501872</v>
      </c>
      <c r="G416" s="1">
        <v>46674096</v>
      </c>
    </row>
    <row r="417" spans="1:7" ht="12.5" x14ac:dyDescent="0.25">
      <c r="A417" s="2">
        <v>45682</v>
      </c>
      <c r="B417" s="1" t="s">
        <v>10</v>
      </c>
      <c r="C417" s="1" t="s">
        <v>8</v>
      </c>
      <c r="D417" s="1" t="s">
        <v>20</v>
      </c>
      <c r="E417" s="1">
        <v>94</v>
      </c>
      <c r="F417" s="1">
        <v>384484</v>
      </c>
      <c r="G417" s="1">
        <v>36141496</v>
      </c>
    </row>
    <row r="418" spans="1:7" ht="12.5" x14ac:dyDescent="0.25">
      <c r="A418" s="2">
        <v>45682</v>
      </c>
      <c r="B418" s="1" t="s">
        <v>10</v>
      </c>
      <c r="C418" s="1" t="s">
        <v>11</v>
      </c>
      <c r="D418" s="1" t="s">
        <v>18</v>
      </c>
      <c r="E418" s="1">
        <v>24</v>
      </c>
      <c r="F418" s="1">
        <v>451124</v>
      </c>
      <c r="G418" s="1">
        <v>10826976</v>
      </c>
    </row>
    <row r="419" spans="1:7" ht="12.5" x14ac:dyDescent="0.25">
      <c r="A419" s="2">
        <v>45682</v>
      </c>
      <c r="B419" s="1" t="s">
        <v>10</v>
      </c>
      <c r="C419" s="1" t="s">
        <v>8</v>
      </c>
      <c r="D419" s="1" t="s">
        <v>17</v>
      </c>
      <c r="E419" s="1">
        <v>20</v>
      </c>
      <c r="F419" s="1">
        <v>311207</v>
      </c>
      <c r="G419" s="1">
        <v>6224140</v>
      </c>
    </row>
    <row r="420" spans="1:7" ht="12.5" x14ac:dyDescent="0.25">
      <c r="A420" s="2">
        <v>45682</v>
      </c>
      <c r="B420" s="1" t="s">
        <v>10</v>
      </c>
      <c r="C420" s="1" t="s">
        <v>22</v>
      </c>
      <c r="D420" s="1" t="s">
        <v>20</v>
      </c>
      <c r="E420" s="1">
        <v>96</v>
      </c>
      <c r="F420" s="1">
        <v>429065</v>
      </c>
      <c r="G420" s="1">
        <v>41190240</v>
      </c>
    </row>
    <row r="421" spans="1:7" ht="12.5" x14ac:dyDescent="0.25">
      <c r="A421" s="2">
        <v>45683</v>
      </c>
      <c r="B421" s="1" t="s">
        <v>10</v>
      </c>
      <c r="C421" s="1" t="s">
        <v>8</v>
      </c>
      <c r="D421" s="1" t="s">
        <v>18</v>
      </c>
      <c r="E421" s="1">
        <v>66</v>
      </c>
      <c r="F421" s="1">
        <v>299102</v>
      </c>
      <c r="G421" s="1">
        <v>19740732</v>
      </c>
    </row>
    <row r="422" spans="1:7" ht="12.5" x14ac:dyDescent="0.25">
      <c r="A422" s="2">
        <v>45683</v>
      </c>
      <c r="B422" s="1" t="s">
        <v>10</v>
      </c>
      <c r="C422" s="1" t="s">
        <v>16</v>
      </c>
      <c r="D422" s="1" t="s">
        <v>14</v>
      </c>
      <c r="E422" s="1">
        <v>39</v>
      </c>
      <c r="F422" s="1">
        <v>289922</v>
      </c>
      <c r="G422" s="1">
        <v>11306958</v>
      </c>
    </row>
    <row r="423" spans="1:7" ht="12.5" x14ac:dyDescent="0.25">
      <c r="A423" s="2">
        <v>45683</v>
      </c>
      <c r="B423" s="1" t="s">
        <v>10</v>
      </c>
      <c r="C423" s="1" t="s">
        <v>11</v>
      </c>
      <c r="D423" s="1" t="s">
        <v>20</v>
      </c>
      <c r="E423" s="1">
        <v>12</v>
      </c>
      <c r="F423" s="1">
        <v>259474</v>
      </c>
      <c r="G423" s="1">
        <v>3113688</v>
      </c>
    </row>
    <row r="424" spans="1:7" ht="12.5" x14ac:dyDescent="0.25">
      <c r="A424" s="2">
        <v>45683</v>
      </c>
      <c r="B424" s="1" t="s">
        <v>10</v>
      </c>
      <c r="C424" s="1" t="s">
        <v>11</v>
      </c>
      <c r="D424" s="1" t="s">
        <v>18</v>
      </c>
      <c r="E424" s="1">
        <v>15</v>
      </c>
      <c r="F424" s="1">
        <v>530985</v>
      </c>
      <c r="G424" s="1">
        <v>7964775</v>
      </c>
    </row>
    <row r="425" spans="1:7" ht="12.5" x14ac:dyDescent="0.25">
      <c r="A425" s="2">
        <v>45683</v>
      </c>
      <c r="B425" s="1" t="s">
        <v>10</v>
      </c>
      <c r="C425" s="1" t="s">
        <v>16</v>
      </c>
      <c r="D425" s="1" t="s">
        <v>20</v>
      </c>
      <c r="E425" s="1">
        <v>87</v>
      </c>
      <c r="F425" s="1">
        <v>207133</v>
      </c>
      <c r="G425" s="1">
        <v>18020571</v>
      </c>
    </row>
    <row r="426" spans="1:7" ht="12.5" x14ac:dyDescent="0.25">
      <c r="A426" s="2">
        <v>45683</v>
      </c>
      <c r="B426" s="1" t="s">
        <v>10</v>
      </c>
      <c r="C426" s="1" t="s">
        <v>8</v>
      </c>
      <c r="D426" s="1" t="s">
        <v>17</v>
      </c>
      <c r="E426" s="1">
        <v>37</v>
      </c>
      <c r="F426" s="1">
        <v>186037</v>
      </c>
      <c r="G426" s="1">
        <v>6883369</v>
      </c>
    </row>
    <row r="427" spans="1:7" ht="12.5" x14ac:dyDescent="0.25">
      <c r="A427" s="2">
        <v>45683</v>
      </c>
      <c r="B427" s="1" t="s">
        <v>10</v>
      </c>
      <c r="C427" s="1" t="s">
        <v>16</v>
      </c>
      <c r="D427" s="1" t="s">
        <v>18</v>
      </c>
      <c r="E427" s="1">
        <v>118</v>
      </c>
      <c r="F427" s="1">
        <v>307190</v>
      </c>
      <c r="G427" s="1">
        <v>36248420</v>
      </c>
    </row>
    <row r="428" spans="1:7" ht="12.5" x14ac:dyDescent="0.25">
      <c r="A428" s="2">
        <v>45683</v>
      </c>
      <c r="B428" s="1" t="s">
        <v>10</v>
      </c>
      <c r="C428" s="1" t="s">
        <v>24</v>
      </c>
      <c r="D428" s="1" t="s">
        <v>17</v>
      </c>
      <c r="E428" s="1">
        <v>103</v>
      </c>
      <c r="F428" s="1">
        <v>111520</v>
      </c>
      <c r="G428" s="1">
        <v>11486560</v>
      </c>
    </row>
    <row r="429" spans="1:7" ht="12.5" x14ac:dyDescent="0.25">
      <c r="A429" s="2">
        <v>45683</v>
      </c>
      <c r="B429" s="1" t="s">
        <v>10</v>
      </c>
      <c r="C429" s="1" t="s">
        <v>8</v>
      </c>
      <c r="D429" s="1" t="s">
        <v>12</v>
      </c>
      <c r="E429" s="1">
        <v>28</v>
      </c>
      <c r="F429" s="1">
        <v>339793</v>
      </c>
      <c r="G429" s="1">
        <v>9514204</v>
      </c>
    </row>
    <row r="430" spans="1:7" ht="12.5" x14ac:dyDescent="0.25">
      <c r="A430" s="2">
        <v>45683</v>
      </c>
      <c r="B430" s="1" t="s">
        <v>10</v>
      </c>
      <c r="C430" s="1" t="s">
        <v>11</v>
      </c>
      <c r="D430" s="1" t="s">
        <v>18</v>
      </c>
      <c r="E430" s="1">
        <v>65</v>
      </c>
      <c r="F430" s="1">
        <v>162999</v>
      </c>
      <c r="G430" s="1">
        <v>10594935</v>
      </c>
    </row>
    <row r="431" spans="1:7" ht="12.5" x14ac:dyDescent="0.25">
      <c r="A431" s="2">
        <v>45683</v>
      </c>
      <c r="B431" s="1" t="s">
        <v>10</v>
      </c>
      <c r="C431" s="1" t="s">
        <v>11</v>
      </c>
      <c r="D431" s="1" t="s">
        <v>20</v>
      </c>
      <c r="E431" s="1">
        <v>23</v>
      </c>
      <c r="F431" s="1">
        <v>245806</v>
      </c>
      <c r="G431" s="1">
        <v>5653538</v>
      </c>
    </row>
    <row r="432" spans="1:7" ht="12.5" x14ac:dyDescent="0.25">
      <c r="A432" s="2">
        <v>45683</v>
      </c>
      <c r="B432" s="1" t="s">
        <v>10</v>
      </c>
      <c r="C432" s="1" t="s">
        <v>22</v>
      </c>
      <c r="D432" s="1" t="s">
        <v>20</v>
      </c>
      <c r="E432" s="1">
        <v>118</v>
      </c>
      <c r="F432" s="1">
        <v>354333</v>
      </c>
      <c r="G432" s="1">
        <v>41811294</v>
      </c>
    </row>
    <row r="433" spans="1:7" ht="12.5" x14ac:dyDescent="0.25">
      <c r="A433" s="2">
        <v>45683</v>
      </c>
      <c r="B433" s="1" t="s">
        <v>10</v>
      </c>
      <c r="C433" s="1" t="s">
        <v>11</v>
      </c>
      <c r="D433" s="1" t="s">
        <v>17</v>
      </c>
      <c r="E433" s="1">
        <v>10</v>
      </c>
      <c r="F433" s="1">
        <v>121453</v>
      </c>
      <c r="G433" s="1">
        <v>1214530</v>
      </c>
    </row>
    <row r="434" spans="1:7" ht="12.5" x14ac:dyDescent="0.25">
      <c r="A434" s="2">
        <v>45683</v>
      </c>
      <c r="B434" s="1" t="s">
        <v>10</v>
      </c>
      <c r="C434" s="1" t="s">
        <v>11</v>
      </c>
      <c r="D434" s="1" t="s">
        <v>17</v>
      </c>
      <c r="E434" s="1">
        <v>20</v>
      </c>
      <c r="F434" s="1">
        <v>426715</v>
      </c>
      <c r="G434" s="1">
        <v>8534300</v>
      </c>
    </row>
    <row r="435" spans="1:7" ht="12.5" x14ac:dyDescent="0.25">
      <c r="A435" s="2">
        <v>45683</v>
      </c>
      <c r="B435" s="1" t="s">
        <v>10</v>
      </c>
      <c r="C435" s="1" t="s">
        <v>16</v>
      </c>
      <c r="D435" s="1" t="s">
        <v>12</v>
      </c>
      <c r="E435" s="1">
        <v>84</v>
      </c>
      <c r="F435" s="1">
        <v>226184</v>
      </c>
      <c r="G435" s="1">
        <v>18999456</v>
      </c>
    </row>
    <row r="436" spans="1:7" ht="12.5" x14ac:dyDescent="0.25">
      <c r="A436" s="2">
        <v>45683</v>
      </c>
      <c r="B436" s="1" t="s">
        <v>10</v>
      </c>
      <c r="C436" s="1" t="s">
        <v>8</v>
      </c>
      <c r="D436" s="1" t="s">
        <v>17</v>
      </c>
      <c r="E436" s="1">
        <v>101</v>
      </c>
      <c r="F436" s="1">
        <v>287707</v>
      </c>
      <c r="G436" s="1">
        <v>29058407</v>
      </c>
    </row>
    <row r="437" spans="1:7" ht="12.5" x14ac:dyDescent="0.25">
      <c r="A437" s="2">
        <v>45683</v>
      </c>
      <c r="B437" s="1" t="s">
        <v>10</v>
      </c>
      <c r="C437" s="1" t="s">
        <v>8</v>
      </c>
      <c r="D437" s="1" t="s">
        <v>14</v>
      </c>
      <c r="E437" s="1">
        <v>44</v>
      </c>
      <c r="F437" s="1">
        <v>351815</v>
      </c>
      <c r="G437" s="1">
        <v>15479860</v>
      </c>
    </row>
    <row r="438" spans="1:7" ht="12.5" x14ac:dyDescent="0.25">
      <c r="A438" s="2">
        <v>45683</v>
      </c>
      <c r="B438" s="1" t="s">
        <v>10</v>
      </c>
      <c r="C438" s="1" t="s">
        <v>8</v>
      </c>
      <c r="D438" s="1" t="s">
        <v>14</v>
      </c>
      <c r="E438" s="1">
        <v>61</v>
      </c>
      <c r="F438" s="1">
        <v>44707</v>
      </c>
      <c r="G438" s="1">
        <v>2727127</v>
      </c>
    </row>
    <row r="439" spans="1:7" ht="12.5" x14ac:dyDescent="0.25">
      <c r="A439" s="2">
        <v>45683</v>
      </c>
      <c r="B439" s="1" t="s">
        <v>10</v>
      </c>
      <c r="C439" s="1" t="s">
        <v>24</v>
      </c>
      <c r="D439" s="1" t="s">
        <v>12</v>
      </c>
      <c r="E439" s="1">
        <v>73</v>
      </c>
      <c r="F439" s="1">
        <v>363299</v>
      </c>
      <c r="G439" s="1">
        <v>26520827</v>
      </c>
    </row>
    <row r="440" spans="1:7" ht="12.5" x14ac:dyDescent="0.25">
      <c r="A440" s="2">
        <v>45683</v>
      </c>
      <c r="B440" s="1" t="s">
        <v>10</v>
      </c>
      <c r="C440" s="1" t="s">
        <v>8</v>
      </c>
      <c r="D440" s="1" t="s">
        <v>12</v>
      </c>
      <c r="E440" s="1">
        <v>119</v>
      </c>
      <c r="F440" s="1">
        <v>404274</v>
      </c>
      <c r="G440" s="1">
        <v>48108606</v>
      </c>
    </row>
    <row r="441" spans="1:7" ht="12.5" x14ac:dyDescent="0.25">
      <c r="A441" s="2">
        <v>45683</v>
      </c>
      <c r="B441" s="1" t="s">
        <v>10</v>
      </c>
      <c r="C441" s="1" t="s">
        <v>11</v>
      </c>
      <c r="D441" s="1" t="s">
        <v>9</v>
      </c>
      <c r="E441" s="1">
        <v>59</v>
      </c>
      <c r="F441" s="1">
        <v>170928</v>
      </c>
      <c r="G441" s="1">
        <v>10084752</v>
      </c>
    </row>
    <row r="442" spans="1:7" ht="12.5" x14ac:dyDescent="0.25">
      <c r="A442" s="2">
        <v>45683</v>
      </c>
      <c r="B442" s="1" t="s">
        <v>10</v>
      </c>
      <c r="C442" s="1" t="s">
        <v>16</v>
      </c>
      <c r="D442" s="1" t="s">
        <v>9</v>
      </c>
      <c r="E442" s="1">
        <v>12</v>
      </c>
      <c r="F442" s="1">
        <v>258500</v>
      </c>
      <c r="G442" s="1">
        <v>3102000</v>
      </c>
    </row>
    <row r="443" spans="1:7" ht="12.5" x14ac:dyDescent="0.25">
      <c r="A443" s="2">
        <v>45683</v>
      </c>
      <c r="B443" s="1" t="s">
        <v>13</v>
      </c>
      <c r="C443" s="1" t="s">
        <v>22</v>
      </c>
      <c r="D443" s="1" t="s">
        <v>9</v>
      </c>
      <c r="E443" s="1">
        <v>98</v>
      </c>
      <c r="F443" s="1">
        <v>156470</v>
      </c>
      <c r="G443" s="1">
        <v>15334060</v>
      </c>
    </row>
    <row r="444" spans="1:7" ht="12.5" x14ac:dyDescent="0.25">
      <c r="A444" s="2">
        <v>45684</v>
      </c>
      <c r="B444" s="1" t="s">
        <v>13</v>
      </c>
      <c r="C444" s="1" t="s">
        <v>24</v>
      </c>
      <c r="D444" s="1" t="s">
        <v>18</v>
      </c>
      <c r="E444" s="1">
        <v>23</v>
      </c>
      <c r="F444" s="1">
        <v>509115</v>
      </c>
      <c r="G444" s="1">
        <v>11709645</v>
      </c>
    </row>
    <row r="445" spans="1:7" ht="12.5" x14ac:dyDescent="0.25">
      <c r="A445" s="2">
        <v>45684</v>
      </c>
      <c r="B445" s="1" t="s">
        <v>13</v>
      </c>
      <c r="C445" s="1" t="s">
        <v>8</v>
      </c>
      <c r="D445" s="1" t="s">
        <v>20</v>
      </c>
      <c r="E445" s="1">
        <v>45</v>
      </c>
      <c r="F445" s="1">
        <v>400479</v>
      </c>
      <c r="G445" s="1">
        <v>18021555</v>
      </c>
    </row>
    <row r="446" spans="1:7" ht="12.5" x14ac:dyDescent="0.25">
      <c r="A446" s="2">
        <v>45684</v>
      </c>
      <c r="B446" s="1" t="s">
        <v>13</v>
      </c>
      <c r="C446" s="1" t="s">
        <v>8</v>
      </c>
      <c r="D446" s="1" t="s">
        <v>12</v>
      </c>
      <c r="E446" s="1">
        <v>119</v>
      </c>
      <c r="F446" s="1">
        <v>131863</v>
      </c>
      <c r="G446" s="1">
        <v>15691697</v>
      </c>
    </row>
    <row r="447" spans="1:7" ht="12.5" x14ac:dyDescent="0.25">
      <c r="A447" s="2">
        <v>45684</v>
      </c>
      <c r="B447" s="1" t="s">
        <v>13</v>
      </c>
      <c r="C447" s="1" t="s">
        <v>8</v>
      </c>
      <c r="D447" s="1" t="s">
        <v>20</v>
      </c>
      <c r="E447" s="1">
        <v>119</v>
      </c>
      <c r="F447" s="1">
        <v>58320</v>
      </c>
      <c r="G447" s="1">
        <v>6940080</v>
      </c>
    </row>
    <row r="448" spans="1:7" ht="12.5" x14ac:dyDescent="0.25">
      <c r="A448" s="2">
        <v>45684</v>
      </c>
      <c r="B448" s="1" t="s">
        <v>13</v>
      </c>
      <c r="C448" s="1" t="s">
        <v>22</v>
      </c>
      <c r="D448" s="1" t="s">
        <v>17</v>
      </c>
      <c r="E448" s="1">
        <v>74</v>
      </c>
      <c r="F448" s="1">
        <v>458625</v>
      </c>
      <c r="G448" s="1">
        <v>33938250</v>
      </c>
    </row>
    <row r="449" spans="1:7" ht="12.5" x14ac:dyDescent="0.25">
      <c r="A449" s="2">
        <v>45684</v>
      </c>
      <c r="B449" s="1" t="s">
        <v>13</v>
      </c>
      <c r="C449" s="1" t="s">
        <v>24</v>
      </c>
      <c r="D449" s="1" t="s">
        <v>17</v>
      </c>
      <c r="E449" s="1">
        <v>8</v>
      </c>
      <c r="F449" s="1">
        <v>469054</v>
      </c>
      <c r="G449" s="1">
        <v>3752432</v>
      </c>
    </row>
    <row r="450" spans="1:7" ht="12.5" x14ac:dyDescent="0.25">
      <c r="A450" s="2">
        <v>45684</v>
      </c>
      <c r="B450" s="1" t="s">
        <v>13</v>
      </c>
      <c r="C450" s="1" t="s">
        <v>8</v>
      </c>
      <c r="D450" s="1" t="s">
        <v>14</v>
      </c>
      <c r="E450" s="1">
        <v>91</v>
      </c>
      <c r="F450" s="1">
        <v>183895</v>
      </c>
      <c r="G450" s="1">
        <v>16734445</v>
      </c>
    </row>
    <row r="451" spans="1:7" ht="12.5" x14ac:dyDescent="0.25">
      <c r="A451" s="2">
        <v>45684</v>
      </c>
      <c r="B451" s="1" t="s">
        <v>13</v>
      </c>
      <c r="C451" s="1" t="s">
        <v>8</v>
      </c>
      <c r="D451" s="1" t="s">
        <v>14</v>
      </c>
      <c r="E451" s="1">
        <v>33</v>
      </c>
      <c r="F451" s="1">
        <v>111376</v>
      </c>
      <c r="G451" s="1">
        <v>3675408</v>
      </c>
    </row>
    <row r="452" spans="1:7" ht="12.5" x14ac:dyDescent="0.25">
      <c r="A452" s="2">
        <v>45684</v>
      </c>
      <c r="B452" s="1" t="s">
        <v>13</v>
      </c>
      <c r="C452" s="1" t="s">
        <v>11</v>
      </c>
      <c r="D452" s="1" t="s">
        <v>20</v>
      </c>
      <c r="E452" s="1">
        <v>48</v>
      </c>
      <c r="F452" s="1">
        <v>482132</v>
      </c>
      <c r="G452" s="1">
        <v>23142336</v>
      </c>
    </row>
    <row r="453" spans="1:7" ht="12.5" x14ac:dyDescent="0.25">
      <c r="A453" s="2">
        <v>45684</v>
      </c>
      <c r="B453" s="1" t="s">
        <v>13</v>
      </c>
      <c r="C453" s="1" t="s">
        <v>16</v>
      </c>
      <c r="D453" s="1" t="s">
        <v>14</v>
      </c>
      <c r="E453" s="1">
        <v>92</v>
      </c>
      <c r="F453" s="1">
        <v>472785</v>
      </c>
      <c r="G453" s="1">
        <v>43496220</v>
      </c>
    </row>
    <row r="454" spans="1:7" ht="12.5" x14ac:dyDescent="0.25">
      <c r="A454" s="2">
        <v>45684</v>
      </c>
      <c r="B454" s="1" t="s">
        <v>13</v>
      </c>
      <c r="C454" s="1" t="s">
        <v>8</v>
      </c>
      <c r="D454" s="1" t="s">
        <v>17</v>
      </c>
      <c r="E454" s="1">
        <v>73</v>
      </c>
      <c r="F454" s="1">
        <v>532828</v>
      </c>
      <c r="G454" s="1">
        <v>38896444</v>
      </c>
    </row>
    <row r="455" spans="1:7" ht="12.5" x14ac:dyDescent="0.25">
      <c r="A455" s="2">
        <v>45684</v>
      </c>
      <c r="B455" s="1" t="s">
        <v>13</v>
      </c>
      <c r="C455" s="1" t="s">
        <v>22</v>
      </c>
      <c r="D455" s="1" t="s">
        <v>14</v>
      </c>
      <c r="E455" s="1">
        <v>68</v>
      </c>
      <c r="F455" s="1">
        <v>529777</v>
      </c>
      <c r="G455" s="1">
        <v>36024836</v>
      </c>
    </row>
    <row r="456" spans="1:7" ht="12.5" x14ac:dyDescent="0.25">
      <c r="A456" s="2">
        <v>45684</v>
      </c>
      <c r="B456" s="1" t="s">
        <v>13</v>
      </c>
      <c r="C456" s="1" t="s">
        <v>16</v>
      </c>
      <c r="D456" s="1" t="s">
        <v>14</v>
      </c>
      <c r="E456" s="1">
        <v>4</v>
      </c>
      <c r="F456" s="1">
        <v>494965</v>
      </c>
      <c r="G456" s="1">
        <v>1979860</v>
      </c>
    </row>
    <row r="457" spans="1:7" ht="12.5" x14ac:dyDescent="0.25">
      <c r="A457" s="2">
        <v>45684</v>
      </c>
      <c r="B457" s="1" t="s">
        <v>13</v>
      </c>
      <c r="C457" s="1" t="s">
        <v>24</v>
      </c>
      <c r="D457" s="1" t="s">
        <v>12</v>
      </c>
      <c r="E457" s="1">
        <v>82</v>
      </c>
      <c r="F457" s="1">
        <v>255014</v>
      </c>
      <c r="G457" s="1">
        <v>20911148</v>
      </c>
    </row>
    <row r="458" spans="1:7" ht="12.5" x14ac:dyDescent="0.25">
      <c r="A458" s="2">
        <v>45684</v>
      </c>
      <c r="B458" s="1" t="s">
        <v>13</v>
      </c>
      <c r="C458" s="1" t="s">
        <v>22</v>
      </c>
      <c r="D458" s="1" t="s">
        <v>14</v>
      </c>
      <c r="E458" s="1">
        <v>1</v>
      </c>
      <c r="F458" s="1">
        <v>404583</v>
      </c>
      <c r="G458" s="1">
        <v>404583</v>
      </c>
    </row>
    <row r="459" spans="1:7" ht="12.5" x14ac:dyDescent="0.25">
      <c r="A459" s="2">
        <v>45684</v>
      </c>
      <c r="B459" s="1" t="s">
        <v>13</v>
      </c>
      <c r="C459" s="1" t="s">
        <v>8</v>
      </c>
      <c r="D459" s="1" t="s">
        <v>17</v>
      </c>
      <c r="E459" s="1">
        <v>89</v>
      </c>
      <c r="F459" s="1">
        <v>61924</v>
      </c>
      <c r="G459" s="1">
        <v>5511236</v>
      </c>
    </row>
    <row r="460" spans="1:7" ht="12.5" x14ac:dyDescent="0.25">
      <c r="A460" s="2">
        <v>45685</v>
      </c>
      <c r="B460" s="1" t="s">
        <v>13</v>
      </c>
      <c r="C460" s="1" t="s">
        <v>8</v>
      </c>
      <c r="D460" s="1" t="s">
        <v>12</v>
      </c>
      <c r="E460" s="1">
        <v>71</v>
      </c>
      <c r="F460" s="1">
        <v>218786</v>
      </c>
      <c r="G460" s="1">
        <v>15533806</v>
      </c>
    </row>
    <row r="461" spans="1:7" ht="12.5" x14ac:dyDescent="0.25">
      <c r="A461" s="2">
        <v>45685</v>
      </c>
      <c r="B461" s="1" t="s">
        <v>13</v>
      </c>
      <c r="C461" s="1" t="s">
        <v>8</v>
      </c>
      <c r="D461" s="1" t="s">
        <v>9</v>
      </c>
      <c r="E461" s="1">
        <v>33</v>
      </c>
      <c r="F461" s="1">
        <v>149999</v>
      </c>
      <c r="G461" s="1">
        <v>4949967</v>
      </c>
    </row>
    <row r="462" spans="1:7" ht="12.5" x14ac:dyDescent="0.25">
      <c r="A462" s="2">
        <v>45685</v>
      </c>
      <c r="B462" s="1" t="s">
        <v>13</v>
      </c>
      <c r="C462" s="1" t="s">
        <v>8</v>
      </c>
      <c r="D462" s="1" t="s">
        <v>14</v>
      </c>
      <c r="E462" s="1">
        <v>102</v>
      </c>
      <c r="F462" s="1">
        <v>463449</v>
      </c>
      <c r="G462" s="1">
        <v>47271798</v>
      </c>
    </row>
    <row r="463" spans="1:7" ht="12.5" x14ac:dyDescent="0.25">
      <c r="A463" s="2">
        <v>45685</v>
      </c>
      <c r="B463" s="1" t="s">
        <v>13</v>
      </c>
      <c r="C463" s="1" t="s">
        <v>8</v>
      </c>
      <c r="D463" s="1" t="s">
        <v>20</v>
      </c>
      <c r="E463" s="1">
        <v>3</v>
      </c>
      <c r="F463" s="1">
        <v>235049</v>
      </c>
      <c r="G463" s="1">
        <v>705147</v>
      </c>
    </row>
    <row r="464" spans="1:7" ht="12.5" x14ac:dyDescent="0.25">
      <c r="A464" s="2">
        <v>45685</v>
      </c>
      <c r="B464" s="1" t="s">
        <v>13</v>
      </c>
      <c r="C464" s="1" t="s">
        <v>16</v>
      </c>
      <c r="D464" s="1" t="s">
        <v>20</v>
      </c>
      <c r="E464" s="1">
        <v>28</v>
      </c>
      <c r="F464" s="1">
        <v>41348</v>
      </c>
      <c r="G464" s="1">
        <v>1157744</v>
      </c>
    </row>
    <row r="465" spans="1:7" ht="12.5" x14ac:dyDescent="0.25">
      <c r="A465" s="2">
        <v>45685</v>
      </c>
      <c r="B465" s="1" t="s">
        <v>13</v>
      </c>
      <c r="C465" s="1" t="s">
        <v>8</v>
      </c>
      <c r="D465" s="1" t="s">
        <v>12</v>
      </c>
      <c r="E465" s="1">
        <v>12</v>
      </c>
      <c r="F465" s="1">
        <v>293780</v>
      </c>
      <c r="G465" s="1">
        <v>3525360</v>
      </c>
    </row>
    <row r="466" spans="1:7" ht="12.5" x14ac:dyDescent="0.25">
      <c r="A466" s="2">
        <v>45685</v>
      </c>
      <c r="B466" s="1" t="s">
        <v>13</v>
      </c>
      <c r="C466" s="1" t="s">
        <v>8</v>
      </c>
      <c r="D466" s="1" t="s">
        <v>14</v>
      </c>
      <c r="E466" s="1">
        <v>44</v>
      </c>
      <c r="F466" s="1">
        <v>345914</v>
      </c>
      <c r="G466" s="1">
        <v>15220216</v>
      </c>
    </row>
    <row r="467" spans="1:7" ht="12.5" x14ac:dyDescent="0.25">
      <c r="A467" s="2">
        <v>45685</v>
      </c>
      <c r="B467" s="1" t="s">
        <v>13</v>
      </c>
      <c r="C467" s="1" t="s">
        <v>16</v>
      </c>
      <c r="D467" s="1" t="s">
        <v>18</v>
      </c>
      <c r="E467" s="1">
        <v>114</v>
      </c>
      <c r="F467" s="1">
        <v>69182</v>
      </c>
      <c r="G467" s="1">
        <v>7886748</v>
      </c>
    </row>
    <row r="468" spans="1:7" ht="12.5" x14ac:dyDescent="0.25">
      <c r="A468" s="2">
        <v>45685</v>
      </c>
      <c r="B468" s="1" t="s">
        <v>13</v>
      </c>
      <c r="C468" s="1" t="s">
        <v>8</v>
      </c>
      <c r="D468" s="1" t="s">
        <v>18</v>
      </c>
      <c r="E468" s="1">
        <v>25</v>
      </c>
      <c r="F468" s="1">
        <v>149978</v>
      </c>
      <c r="G468" s="1">
        <v>3749450</v>
      </c>
    </row>
    <row r="469" spans="1:7" ht="12.5" x14ac:dyDescent="0.25">
      <c r="A469" s="2">
        <v>45685</v>
      </c>
      <c r="B469" s="1" t="s">
        <v>13</v>
      </c>
      <c r="C469" s="1" t="s">
        <v>11</v>
      </c>
      <c r="D469" s="1" t="s">
        <v>20</v>
      </c>
      <c r="E469" s="1">
        <v>13</v>
      </c>
      <c r="F469" s="1">
        <v>268517</v>
      </c>
      <c r="G469" s="1">
        <v>3490721</v>
      </c>
    </row>
    <row r="470" spans="1:7" ht="12.5" x14ac:dyDescent="0.25">
      <c r="A470" s="2">
        <v>45685</v>
      </c>
      <c r="B470" s="1" t="s">
        <v>13</v>
      </c>
      <c r="C470" s="1" t="s">
        <v>16</v>
      </c>
      <c r="D470" s="1" t="s">
        <v>9</v>
      </c>
      <c r="E470" s="1">
        <v>68</v>
      </c>
      <c r="F470" s="1">
        <v>213502</v>
      </c>
      <c r="G470" s="1">
        <v>14518136</v>
      </c>
    </row>
    <row r="471" spans="1:7" ht="12.5" x14ac:dyDescent="0.25">
      <c r="A471" s="2">
        <v>45685</v>
      </c>
      <c r="B471" s="1" t="s">
        <v>13</v>
      </c>
      <c r="C471" s="1" t="s">
        <v>24</v>
      </c>
      <c r="D471" s="1" t="s">
        <v>20</v>
      </c>
      <c r="E471" s="1">
        <v>36</v>
      </c>
      <c r="F471" s="1">
        <v>467373</v>
      </c>
      <c r="G471" s="1">
        <v>16825428</v>
      </c>
    </row>
    <row r="472" spans="1:7" ht="12.5" x14ac:dyDescent="0.25">
      <c r="A472" s="2">
        <v>45685</v>
      </c>
      <c r="B472" s="1" t="s">
        <v>13</v>
      </c>
      <c r="C472" s="1" t="s">
        <v>8</v>
      </c>
      <c r="D472" s="1" t="s">
        <v>9</v>
      </c>
      <c r="E472" s="1">
        <v>77</v>
      </c>
      <c r="F472" s="1">
        <v>267368</v>
      </c>
      <c r="G472" s="1">
        <v>20587336</v>
      </c>
    </row>
    <row r="473" spans="1:7" ht="12.5" x14ac:dyDescent="0.25">
      <c r="A473" s="2">
        <v>45685</v>
      </c>
      <c r="B473" s="1" t="s">
        <v>13</v>
      </c>
      <c r="C473" s="1" t="s">
        <v>8</v>
      </c>
      <c r="D473" s="1" t="s">
        <v>12</v>
      </c>
      <c r="E473" s="1">
        <v>95</v>
      </c>
      <c r="F473" s="1">
        <v>185211</v>
      </c>
      <c r="G473" s="1">
        <v>17595045</v>
      </c>
    </row>
    <row r="474" spans="1:7" ht="12.5" x14ac:dyDescent="0.25">
      <c r="A474" s="2">
        <v>45685</v>
      </c>
      <c r="B474" s="1" t="s">
        <v>13</v>
      </c>
      <c r="C474" s="1" t="s">
        <v>8</v>
      </c>
      <c r="D474" s="1" t="s">
        <v>17</v>
      </c>
      <c r="E474" s="1">
        <v>71</v>
      </c>
      <c r="F474" s="1">
        <v>492238</v>
      </c>
      <c r="G474" s="1">
        <v>34948898</v>
      </c>
    </row>
    <row r="475" spans="1:7" ht="12.5" x14ac:dyDescent="0.25">
      <c r="A475" s="2">
        <v>45685</v>
      </c>
      <c r="B475" s="1" t="s">
        <v>13</v>
      </c>
      <c r="C475" s="1" t="s">
        <v>24</v>
      </c>
      <c r="D475" s="1" t="s">
        <v>18</v>
      </c>
      <c r="E475" s="1">
        <v>61</v>
      </c>
      <c r="F475" s="1">
        <v>129735</v>
      </c>
      <c r="G475" s="1">
        <v>7913835</v>
      </c>
    </row>
    <row r="476" spans="1:7" ht="12.5" x14ac:dyDescent="0.25">
      <c r="A476" s="2">
        <v>45686</v>
      </c>
      <c r="B476" s="1" t="s">
        <v>13</v>
      </c>
      <c r="C476" s="1" t="s">
        <v>8</v>
      </c>
      <c r="D476" s="1" t="s">
        <v>17</v>
      </c>
      <c r="E476" s="1">
        <v>118</v>
      </c>
      <c r="F476" s="1">
        <v>372246</v>
      </c>
      <c r="G476" s="1">
        <v>43925028</v>
      </c>
    </row>
    <row r="477" spans="1:7" ht="12.5" x14ac:dyDescent="0.25">
      <c r="A477" s="2">
        <v>45686</v>
      </c>
      <c r="B477" s="1" t="s">
        <v>13</v>
      </c>
      <c r="C477" s="1" t="s">
        <v>8</v>
      </c>
      <c r="D477" s="1" t="s">
        <v>9</v>
      </c>
      <c r="E477" s="1">
        <v>45</v>
      </c>
      <c r="F477" s="1">
        <v>416889</v>
      </c>
      <c r="G477" s="1">
        <v>18760005</v>
      </c>
    </row>
    <row r="478" spans="1:7" ht="12.5" x14ac:dyDescent="0.25">
      <c r="A478" s="2">
        <v>45686</v>
      </c>
      <c r="B478" s="1" t="s">
        <v>13</v>
      </c>
      <c r="C478" s="1" t="s">
        <v>11</v>
      </c>
      <c r="D478" s="1" t="s">
        <v>12</v>
      </c>
      <c r="E478" s="1">
        <v>119</v>
      </c>
      <c r="F478" s="1">
        <v>206501</v>
      </c>
      <c r="G478" s="1">
        <v>24573619</v>
      </c>
    </row>
    <row r="479" spans="1:7" ht="12.5" x14ac:dyDescent="0.25">
      <c r="A479" s="2">
        <v>45686</v>
      </c>
      <c r="B479" s="1" t="s">
        <v>13</v>
      </c>
      <c r="C479" s="1" t="s">
        <v>16</v>
      </c>
      <c r="D479" s="1" t="s">
        <v>17</v>
      </c>
      <c r="E479" s="1">
        <v>92</v>
      </c>
      <c r="F479" s="1">
        <v>235160</v>
      </c>
      <c r="G479" s="1">
        <v>21634720</v>
      </c>
    </row>
    <row r="480" spans="1:7" ht="12.5" x14ac:dyDescent="0.25">
      <c r="A480" s="2">
        <v>45686</v>
      </c>
      <c r="B480" s="1" t="s">
        <v>13</v>
      </c>
      <c r="C480" s="1" t="s">
        <v>8</v>
      </c>
      <c r="D480" s="1" t="s">
        <v>17</v>
      </c>
      <c r="E480" s="1">
        <v>10</v>
      </c>
      <c r="F480" s="1">
        <v>85388</v>
      </c>
      <c r="G480" s="1">
        <v>853880</v>
      </c>
    </row>
    <row r="481" spans="1:7" ht="12.5" x14ac:dyDescent="0.25">
      <c r="A481" s="2">
        <v>45686</v>
      </c>
      <c r="B481" s="1" t="s">
        <v>13</v>
      </c>
      <c r="C481" s="1" t="s">
        <v>24</v>
      </c>
      <c r="D481" s="1" t="s">
        <v>20</v>
      </c>
      <c r="E481" s="1">
        <v>91</v>
      </c>
      <c r="F481" s="1">
        <v>44084</v>
      </c>
      <c r="G481" s="1">
        <v>4011644</v>
      </c>
    </row>
    <row r="482" spans="1:7" ht="12.5" x14ac:dyDescent="0.25">
      <c r="A482" s="2">
        <v>45686</v>
      </c>
      <c r="B482" s="1" t="s">
        <v>13</v>
      </c>
      <c r="C482" s="1" t="s">
        <v>22</v>
      </c>
      <c r="D482" s="1" t="s">
        <v>17</v>
      </c>
      <c r="E482" s="1">
        <v>100</v>
      </c>
      <c r="F482" s="1">
        <v>172982</v>
      </c>
      <c r="G482" s="1">
        <v>17298200</v>
      </c>
    </row>
    <row r="483" spans="1:7" ht="12.5" x14ac:dyDescent="0.25">
      <c r="A483" s="2">
        <v>45686</v>
      </c>
      <c r="B483" s="1" t="s">
        <v>13</v>
      </c>
      <c r="C483" s="1" t="s">
        <v>24</v>
      </c>
      <c r="D483" s="1" t="s">
        <v>17</v>
      </c>
      <c r="E483" s="1">
        <v>19</v>
      </c>
      <c r="F483" s="1">
        <v>353715</v>
      </c>
      <c r="G483" s="1">
        <v>6720585</v>
      </c>
    </row>
    <row r="484" spans="1:7" ht="12.5" x14ac:dyDescent="0.25">
      <c r="A484" s="2">
        <v>45687</v>
      </c>
      <c r="B484" s="1" t="s">
        <v>13</v>
      </c>
      <c r="C484" s="1" t="s">
        <v>8</v>
      </c>
      <c r="D484" s="1" t="s">
        <v>9</v>
      </c>
      <c r="E484" s="1">
        <v>114</v>
      </c>
      <c r="F484" s="1">
        <v>205246</v>
      </c>
      <c r="G484" s="1">
        <v>23398044</v>
      </c>
    </row>
    <row r="485" spans="1:7" ht="12.5" x14ac:dyDescent="0.25">
      <c r="A485" s="2">
        <v>45687</v>
      </c>
      <c r="B485" s="1" t="s">
        <v>13</v>
      </c>
      <c r="C485" s="1" t="s">
        <v>8</v>
      </c>
      <c r="D485" s="1" t="s">
        <v>12</v>
      </c>
      <c r="E485" s="1">
        <v>98</v>
      </c>
      <c r="F485" s="1">
        <v>59104</v>
      </c>
      <c r="G485" s="1">
        <v>5792192</v>
      </c>
    </row>
    <row r="486" spans="1:7" ht="12.5" x14ac:dyDescent="0.25">
      <c r="A486" s="2">
        <v>45687</v>
      </c>
      <c r="B486" s="1" t="s">
        <v>13</v>
      </c>
      <c r="C486" s="1" t="s">
        <v>8</v>
      </c>
      <c r="D486" s="1" t="s">
        <v>20</v>
      </c>
      <c r="E486" s="1">
        <v>35</v>
      </c>
      <c r="F486" s="1">
        <v>295855</v>
      </c>
      <c r="G486" s="1">
        <v>10354925</v>
      </c>
    </row>
    <row r="487" spans="1:7" ht="12.5" x14ac:dyDescent="0.25">
      <c r="A487" s="2">
        <v>45687</v>
      </c>
      <c r="B487" s="1" t="s">
        <v>13</v>
      </c>
      <c r="C487" s="1" t="s">
        <v>8</v>
      </c>
      <c r="D487" s="1" t="s">
        <v>17</v>
      </c>
      <c r="E487" s="1">
        <v>78</v>
      </c>
      <c r="F487" s="1">
        <v>461000</v>
      </c>
      <c r="G487" s="1">
        <v>35958000</v>
      </c>
    </row>
    <row r="488" spans="1:7" ht="12.5" x14ac:dyDescent="0.25">
      <c r="A488" s="2">
        <v>45687</v>
      </c>
      <c r="B488" s="1" t="s">
        <v>13</v>
      </c>
      <c r="C488" s="1" t="s">
        <v>24</v>
      </c>
      <c r="D488" s="1" t="s">
        <v>20</v>
      </c>
      <c r="E488" s="1">
        <v>64</v>
      </c>
      <c r="F488" s="1">
        <v>538646</v>
      </c>
      <c r="G488" s="1">
        <v>34473344</v>
      </c>
    </row>
    <row r="489" spans="1:7" ht="12.5" x14ac:dyDescent="0.25">
      <c r="A489" s="2">
        <v>45687</v>
      </c>
      <c r="B489" s="1" t="s">
        <v>13</v>
      </c>
      <c r="C489" s="1" t="s">
        <v>22</v>
      </c>
      <c r="D489" s="1" t="s">
        <v>17</v>
      </c>
      <c r="E489" s="1">
        <v>42</v>
      </c>
      <c r="F489" s="1">
        <v>304054</v>
      </c>
      <c r="G489" s="1">
        <v>12770268</v>
      </c>
    </row>
    <row r="490" spans="1:7" ht="12.5" x14ac:dyDescent="0.25">
      <c r="A490" s="2">
        <v>45687</v>
      </c>
      <c r="B490" s="1" t="s">
        <v>13</v>
      </c>
      <c r="C490" s="1" t="s">
        <v>22</v>
      </c>
      <c r="D490" s="1" t="s">
        <v>14</v>
      </c>
      <c r="E490" s="1">
        <v>103</v>
      </c>
      <c r="F490" s="1">
        <v>119847</v>
      </c>
      <c r="G490" s="1">
        <v>12344241</v>
      </c>
    </row>
    <row r="491" spans="1:7" ht="12.5" x14ac:dyDescent="0.25">
      <c r="A491" s="2">
        <v>45687</v>
      </c>
      <c r="B491" s="1" t="s">
        <v>13</v>
      </c>
      <c r="C491" s="1" t="s">
        <v>22</v>
      </c>
      <c r="D491" s="1" t="s">
        <v>12</v>
      </c>
      <c r="E491" s="1">
        <v>68</v>
      </c>
      <c r="F491" s="1">
        <v>306037</v>
      </c>
      <c r="G491" s="1">
        <v>20810516</v>
      </c>
    </row>
    <row r="492" spans="1:7" ht="12.5" x14ac:dyDescent="0.25">
      <c r="A492" s="2">
        <v>45687</v>
      </c>
      <c r="B492" s="1" t="s">
        <v>13</v>
      </c>
      <c r="C492" s="1" t="s">
        <v>16</v>
      </c>
      <c r="D492" s="1" t="s">
        <v>18</v>
      </c>
      <c r="E492" s="1">
        <v>36</v>
      </c>
      <c r="F492" s="1">
        <v>122356</v>
      </c>
      <c r="G492" s="1">
        <v>4404816</v>
      </c>
    </row>
    <row r="493" spans="1:7" ht="12.5" x14ac:dyDescent="0.25">
      <c r="A493" s="2">
        <v>45687</v>
      </c>
      <c r="B493" s="1" t="s">
        <v>13</v>
      </c>
      <c r="C493" s="1" t="s">
        <v>22</v>
      </c>
      <c r="D493" s="1" t="s">
        <v>14</v>
      </c>
      <c r="E493" s="1">
        <v>73</v>
      </c>
      <c r="F493" s="1">
        <v>64624</v>
      </c>
      <c r="G493" s="1">
        <v>4717552</v>
      </c>
    </row>
    <row r="494" spans="1:7" ht="12.5" x14ac:dyDescent="0.25">
      <c r="A494" s="2">
        <v>45687</v>
      </c>
      <c r="B494" s="1" t="s">
        <v>13</v>
      </c>
      <c r="C494" s="1" t="s">
        <v>8</v>
      </c>
      <c r="D494" s="1" t="s">
        <v>17</v>
      </c>
      <c r="E494" s="1">
        <v>103</v>
      </c>
      <c r="F494" s="1">
        <v>387539</v>
      </c>
      <c r="G494" s="1">
        <v>39916517</v>
      </c>
    </row>
    <row r="495" spans="1:7" ht="12.5" x14ac:dyDescent="0.25">
      <c r="A495" s="2">
        <v>45687</v>
      </c>
      <c r="B495" s="1" t="s">
        <v>13</v>
      </c>
      <c r="C495" s="1" t="s">
        <v>8</v>
      </c>
      <c r="D495" s="1" t="s">
        <v>9</v>
      </c>
      <c r="E495" s="1">
        <v>2</v>
      </c>
      <c r="F495" s="1">
        <v>282900</v>
      </c>
      <c r="G495" s="1">
        <v>565800</v>
      </c>
    </row>
    <row r="496" spans="1:7" ht="12.5" x14ac:dyDescent="0.25">
      <c r="A496" s="2">
        <v>45687</v>
      </c>
      <c r="B496" s="1" t="s">
        <v>13</v>
      </c>
      <c r="C496" s="1" t="s">
        <v>11</v>
      </c>
      <c r="D496" s="1" t="s">
        <v>9</v>
      </c>
      <c r="E496" s="1">
        <v>8</v>
      </c>
      <c r="F496" s="1">
        <v>175575</v>
      </c>
      <c r="G496" s="1">
        <v>1404600</v>
      </c>
    </row>
    <row r="497" spans="1:7" ht="12.5" x14ac:dyDescent="0.25">
      <c r="A497" s="2">
        <v>45687</v>
      </c>
      <c r="B497" s="1" t="s">
        <v>13</v>
      </c>
      <c r="C497" s="1" t="s">
        <v>16</v>
      </c>
      <c r="D497" s="1" t="s">
        <v>9</v>
      </c>
      <c r="E497" s="1">
        <v>44</v>
      </c>
      <c r="F497" s="1">
        <v>503948</v>
      </c>
      <c r="G497" s="1">
        <v>22173712</v>
      </c>
    </row>
    <row r="498" spans="1:7" ht="12.5" x14ac:dyDescent="0.25">
      <c r="A498" s="2">
        <v>45687</v>
      </c>
      <c r="B498" s="1" t="s">
        <v>13</v>
      </c>
      <c r="C498" s="1" t="s">
        <v>16</v>
      </c>
      <c r="D498" s="1" t="s">
        <v>18</v>
      </c>
      <c r="E498" s="1">
        <v>70</v>
      </c>
      <c r="F498" s="1">
        <v>408465</v>
      </c>
      <c r="G498" s="1">
        <v>28592550</v>
      </c>
    </row>
    <row r="499" spans="1:7" ht="12.5" x14ac:dyDescent="0.25">
      <c r="A499" s="2">
        <v>45687</v>
      </c>
      <c r="B499" s="1" t="s">
        <v>13</v>
      </c>
      <c r="C499" s="1" t="s">
        <v>24</v>
      </c>
      <c r="D499" s="1" t="s">
        <v>14</v>
      </c>
      <c r="E499" s="1">
        <v>102</v>
      </c>
      <c r="F499" s="1">
        <v>521778</v>
      </c>
      <c r="G499" s="1">
        <v>53221356</v>
      </c>
    </row>
    <row r="500" spans="1:7" ht="12.5" x14ac:dyDescent="0.25">
      <c r="A500" s="2">
        <v>45687</v>
      </c>
      <c r="B500" s="1" t="s">
        <v>13</v>
      </c>
      <c r="C500" s="1" t="s">
        <v>8</v>
      </c>
      <c r="D500" s="1" t="s">
        <v>18</v>
      </c>
      <c r="E500" s="1">
        <v>8</v>
      </c>
      <c r="F500" s="1">
        <v>185915</v>
      </c>
      <c r="G500" s="1">
        <v>1487320</v>
      </c>
    </row>
    <row r="501" spans="1:7" ht="12.5" x14ac:dyDescent="0.25">
      <c r="A501" s="2">
        <v>45687</v>
      </c>
      <c r="B501" s="1" t="s">
        <v>13</v>
      </c>
      <c r="C501" s="1" t="s">
        <v>11</v>
      </c>
      <c r="D501" s="1" t="s">
        <v>17</v>
      </c>
      <c r="E501" s="1">
        <v>77</v>
      </c>
      <c r="F501" s="1">
        <v>282670</v>
      </c>
      <c r="G501" s="1">
        <v>21765590</v>
      </c>
    </row>
    <row r="502" spans="1:7" ht="12.5" x14ac:dyDescent="0.25">
      <c r="A502" s="2">
        <v>45687</v>
      </c>
      <c r="B502" s="1" t="s">
        <v>13</v>
      </c>
      <c r="C502" s="1" t="s">
        <v>8</v>
      </c>
      <c r="D502" s="1" t="s">
        <v>14</v>
      </c>
      <c r="E502" s="1">
        <v>80</v>
      </c>
      <c r="F502" s="1">
        <v>242041</v>
      </c>
      <c r="G502" s="1">
        <v>19363280</v>
      </c>
    </row>
    <row r="503" spans="1:7" ht="12.5" x14ac:dyDescent="0.25">
      <c r="A503" s="2">
        <v>45687</v>
      </c>
      <c r="B503" s="1" t="s">
        <v>13</v>
      </c>
      <c r="C503" s="1" t="s">
        <v>8</v>
      </c>
      <c r="D503" s="1" t="s">
        <v>17</v>
      </c>
      <c r="E503" s="1">
        <v>55</v>
      </c>
      <c r="F503" s="1">
        <v>266911</v>
      </c>
      <c r="G503" s="1">
        <v>14680105</v>
      </c>
    </row>
    <row r="504" spans="1:7" ht="12.5" x14ac:dyDescent="0.25">
      <c r="A504" s="2">
        <v>45687</v>
      </c>
      <c r="B504" s="1" t="s">
        <v>13</v>
      </c>
      <c r="C504" s="1" t="s">
        <v>8</v>
      </c>
      <c r="D504" s="1" t="s">
        <v>14</v>
      </c>
      <c r="E504" s="1">
        <v>8</v>
      </c>
      <c r="F504" s="1">
        <v>180963</v>
      </c>
      <c r="G504" s="1">
        <v>1447704</v>
      </c>
    </row>
    <row r="505" spans="1:7" ht="12.5" x14ac:dyDescent="0.25">
      <c r="A505" s="2">
        <v>45687</v>
      </c>
      <c r="B505" s="1" t="s">
        <v>13</v>
      </c>
      <c r="C505" s="1" t="s">
        <v>11</v>
      </c>
      <c r="D505" s="1" t="s">
        <v>14</v>
      </c>
      <c r="E505" s="1">
        <v>23</v>
      </c>
      <c r="F505" s="1">
        <v>196994</v>
      </c>
      <c r="G505" s="1">
        <v>4530862</v>
      </c>
    </row>
    <row r="506" spans="1:7" ht="12.5" x14ac:dyDescent="0.25">
      <c r="A506" s="2">
        <v>45687</v>
      </c>
      <c r="B506" s="1" t="s">
        <v>13</v>
      </c>
      <c r="C506" s="1" t="s">
        <v>11</v>
      </c>
      <c r="D506" s="1" t="s">
        <v>17</v>
      </c>
      <c r="E506" s="1">
        <v>84</v>
      </c>
      <c r="F506" s="1">
        <v>203783</v>
      </c>
      <c r="G506" s="1">
        <v>17117772</v>
      </c>
    </row>
    <row r="507" spans="1:7" ht="12.5" x14ac:dyDescent="0.25">
      <c r="A507" s="2">
        <v>45688</v>
      </c>
      <c r="B507" s="1" t="s">
        <v>13</v>
      </c>
      <c r="C507" s="1" t="s">
        <v>8</v>
      </c>
      <c r="D507" s="1" t="s">
        <v>20</v>
      </c>
      <c r="E507" s="1">
        <v>30</v>
      </c>
      <c r="F507" s="1">
        <v>227029</v>
      </c>
      <c r="G507" s="1">
        <v>6810870</v>
      </c>
    </row>
    <row r="508" spans="1:7" ht="12.5" x14ac:dyDescent="0.25">
      <c r="A508" s="2">
        <v>45688</v>
      </c>
      <c r="B508" s="1" t="s">
        <v>13</v>
      </c>
      <c r="C508" s="1" t="s">
        <v>8</v>
      </c>
      <c r="D508" s="1" t="s">
        <v>18</v>
      </c>
      <c r="E508" s="1">
        <v>32</v>
      </c>
      <c r="F508" s="1">
        <v>129968</v>
      </c>
      <c r="G508" s="1">
        <v>4158976</v>
      </c>
    </row>
    <row r="509" spans="1:7" ht="12.5" x14ac:dyDescent="0.25">
      <c r="A509" s="2">
        <v>45688</v>
      </c>
      <c r="B509" s="1" t="s">
        <v>13</v>
      </c>
      <c r="C509" s="1" t="s">
        <v>16</v>
      </c>
      <c r="D509" s="1" t="s">
        <v>14</v>
      </c>
      <c r="E509" s="1">
        <v>116</v>
      </c>
      <c r="F509" s="1">
        <v>29169</v>
      </c>
      <c r="G509" s="1">
        <v>3383604</v>
      </c>
    </row>
    <row r="510" spans="1:7" ht="12.5" x14ac:dyDescent="0.25">
      <c r="A510" s="2">
        <v>45688</v>
      </c>
      <c r="B510" s="1" t="s">
        <v>13</v>
      </c>
      <c r="C510" s="1" t="s">
        <v>8</v>
      </c>
      <c r="D510" s="1" t="s">
        <v>12</v>
      </c>
      <c r="E510" s="1">
        <v>97</v>
      </c>
      <c r="F510" s="1">
        <v>277926</v>
      </c>
      <c r="G510" s="1">
        <v>26958822</v>
      </c>
    </row>
    <row r="511" spans="1:7" ht="12.5" x14ac:dyDescent="0.25">
      <c r="A511" s="2">
        <v>45688</v>
      </c>
      <c r="B511" s="1" t="s">
        <v>13</v>
      </c>
      <c r="C511" s="1" t="s">
        <v>24</v>
      </c>
      <c r="D511" s="1" t="s">
        <v>17</v>
      </c>
      <c r="E511" s="1">
        <v>105</v>
      </c>
      <c r="F511" s="1">
        <v>188936</v>
      </c>
      <c r="G511" s="1">
        <v>19838280</v>
      </c>
    </row>
    <row r="512" spans="1:7" ht="12.5" x14ac:dyDescent="0.25">
      <c r="A512" s="2">
        <v>45688</v>
      </c>
      <c r="B512" s="1" t="s">
        <v>13</v>
      </c>
      <c r="C512" s="1" t="s">
        <v>22</v>
      </c>
      <c r="D512" s="1" t="s">
        <v>20</v>
      </c>
      <c r="E512" s="1">
        <v>67</v>
      </c>
      <c r="F512" s="1">
        <v>48067</v>
      </c>
      <c r="G512" s="1">
        <v>3220489</v>
      </c>
    </row>
    <row r="513" spans="1:7" ht="12.5" x14ac:dyDescent="0.25">
      <c r="A513" s="2">
        <v>45688</v>
      </c>
      <c r="B513" s="1" t="s">
        <v>13</v>
      </c>
      <c r="C513" s="1" t="s">
        <v>8</v>
      </c>
      <c r="D513" s="1" t="s">
        <v>9</v>
      </c>
      <c r="E513" s="1">
        <v>82</v>
      </c>
      <c r="F513" s="1">
        <v>243782</v>
      </c>
      <c r="G513" s="1">
        <v>19990124</v>
      </c>
    </row>
    <row r="514" spans="1:7" ht="12.5" x14ac:dyDescent="0.25">
      <c r="A514" s="2">
        <v>45688</v>
      </c>
      <c r="B514" s="1" t="s">
        <v>13</v>
      </c>
      <c r="C514" s="1" t="s">
        <v>16</v>
      </c>
      <c r="D514" s="1" t="s">
        <v>18</v>
      </c>
      <c r="E514" s="1">
        <v>43</v>
      </c>
      <c r="F514" s="1">
        <v>544670</v>
      </c>
      <c r="G514" s="1">
        <v>23420810</v>
      </c>
    </row>
    <row r="515" spans="1:7" ht="12.5" x14ac:dyDescent="0.25">
      <c r="A515" s="2">
        <v>45688</v>
      </c>
      <c r="B515" s="1" t="s">
        <v>13</v>
      </c>
      <c r="C515" s="1" t="s">
        <v>11</v>
      </c>
      <c r="D515" s="1" t="s">
        <v>17</v>
      </c>
      <c r="E515" s="1">
        <v>116</v>
      </c>
      <c r="F515" s="1">
        <v>71929</v>
      </c>
      <c r="G515" s="1">
        <v>8343764</v>
      </c>
    </row>
    <row r="516" spans="1:7" ht="12.5" x14ac:dyDescent="0.25">
      <c r="A516" s="2">
        <v>45688</v>
      </c>
      <c r="B516" s="1" t="s">
        <v>13</v>
      </c>
      <c r="C516" s="1" t="s">
        <v>24</v>
      </c>
      <c r="D516" s="1" t="s">
        <v>9</v>
      </c>
      <c r="E516" s="1">
        <v>38</v>
      </c>
      <c r="F516" s="1">
        <v>297313</v>
      </c>
      <c r="G516" s="1">
        <v>11297894</v>
      </c>
    </row>
    <row r="517" spans="1:7" ht="12.5" x14ac:dyDescent="0.25">
      <c r="A517" s="2">
        <v>45688</v>
      </c>
      <c r="B517" s="1" t="s">
        <v>13</v>
      </c>
      <c r="C517" s="1" t="s">
        <v>16</v>
      </c>
      <c r="D517" s="1" t="s">
        <v>14</v>
      </c>
      <c r="E517" s="1">
        <v>88</v>
      </c>
      <c r="F517" s="1">
        <v>55033</v>
      </c>
      <c r="G517" s="1">
        <v>4842904</v>
      </c>
    </row>
    <row r="518" spans="1:7" ht="12.5" x14ac:dyDescent="0.25">
      <c r="A518" s="2">
        <v>45688</v>
      </c>
      <c r="B518" s="1" t="s">
        <v>13</v>
      </c>
      <c r="C518" s="1" t="s">
        <v>16</v>
      </c>
      <c r="D518" s="1" t="s">
        <v>14</v>
      </c>
      <c r="E518" s="1">
        <v>67</v>
      </c>
      <c r="F518" s="1">
        <v>303894</v>
      </c>
      <c r="G518" s="1">
        <v>20360898</v>
      </c>
    </row>
    <row r="519" spans="1:7" ht="12.5" x14ac:dyDescent="0.25">
      <c r="A519" s="2">
        <v>45688</v>
      </c>
      <c r="B519" s="1" t="s">
        <v>13</v>
      </c>
      <c r="C519" s="1" t="s">
        <v>8</v>
      </c>
      <c r="D519" s="1" t="s">
        <v>20</v>
      </c>
      <c r="E519" s="1">
        <v>15</v>
      </c>
      <c r="F519" s="1">
        <v>213981</v>
      </c>
      <c r="G519" s="1">
        <v>3209715</v>
      </c>
    </row>
    <row r="520" spans="1:7" ht="12.5" x14ac:dyDescent="0.25">
      <c r="A520" s="2">
        <v>45688</v>
      </c>
      <c r="B520" s="1" t="s">
        <v>13</v>
      </c>
      <c r="C520" s="1" t="s">
        <v>24</v>
      </c>
      <c r="D520" s="1" t="s">
        <v>17</v>
      </c>
      <c r="E520" s="1">
        <v>25</v>
      </c>
      <c r="F520" s="1">
        <v>466956</v>
      </c>
      <c r="G520" s="1">
        <v>11673900</v>
      </c>
    </row>
    <row r="521" spans="1:7" ht="12.5" x14ac:dyDescent="0.25">
      <c r="A521" s="2">
        <v>45688</v>
      </c>
      <c r="B521" s="1" t="s">
        <v>13</v>
      </c>
      <c r="C521" s="1" t="s">
        <v>8</v>
      </c>
      <c r="D521" s="1" t="s">
        <v>14</v>
      </c>
      <c r="E521" s="1">
        <v>95</v>
      </c>
      <c r="F521" s="1">
        <v>15901</v>
      </c>
      <c r="G521" s="1">
        <v>1510595</v>
      </c>
    </row>
    <row r="560" spans="1:1" ht="15.75" customHeight="1" x14ac:dyDescent="0.25">
      <c r="A560" t="e" cm="1">
        <f t="array" ref="A560">+A546A545:A560I2A541A531:A560</f>
        <v>#NAME?</v>
      </c>
    </row>
  </sheetData>
  <autoFilter ref="A2:A521" xr:uid="{00000000-0001-0000-0000-000000000000}">
    <sortState xmlns:xlrd2="http://schemas.microsoft.com/office/spreadsheetml/2017/richdata2" ref="A3:A521">
      <sortCondition ref="A2:A521"/>
    </sortState>
  </autoFilter>
  <sortState xmlns:xlrd2="http://schemas.microsoft.com/office/spreadsheetml/2017/richdata2" ref="B2:B521">
    <sortCondition ref="B2:B521"/>
  </sortState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answers_party_4</vt:lpstr>
      <vt:lpstr>data_analysis_answers_week3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Aminata-Sow</dc:creator>
  <cp:lastModifiedBy>Aminata sow</cp:lastModifiedBy>
  <dcterms:created xsi:type="dcterms:W3CDTF">2026-07-18T13:36:03Z</dcterms:created>
  <dcterms:modified xsi:type="dcterms:W3CDTF">2026-07-19T00:00:39Z</dcterms:modified>
</cp:coreProperties>
</file>