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EST\Desktop\dossier_soumission\"/>
    </mc:Choice>
  </mc:AlternateContent>
  <xr:revisionPtr revIDLastSave="0" documentId="8_{F8081AFA-7494-4C16-B35D-8734A93BA464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jeu_de_donnees_performance_elev" sheetId="1" r:id="rId1"/>
    <sheet name="Analyse_reponse_aux_questions" sheetId="2" r:id="rId2"/>
    <sheet name="Analysis_answers_questions" sheetId="3" r:id="rId3"/>
  </sheets>
  <definedNames>
    <definedName name="_xlchart.v1.0" hidden="1">jeu_de_donnees_performance_elev!$F$2:$F$126</definedName>
    <definedName name="_xlchart.v1.1" hidden="1">jeu_de_donnees_performance_elev!$H$2:$H$126</definedName>
    <definedName name="_xlchart.v1.2" hidden="1">jeu_de_donnees_performance_elev!$G$2:$G$126</definedName>
    <definedName name="_xlchart.v1.3" hidden="1">jeu_de_donnees_performance_elev!$H$2:$H$126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8" i="1" l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47" i="1"/>
  <c r="E4" i="1"/>
  <c r="E5" i="1"/>
  <c r="E6" i="1"/>
  <c r="E7" i="1"/>
  <c r="E8" i="1"/>
  <c r="E47" i="1"/>
  <c r="E9" i="1"/>
  <c r="E10" i="1"/>
  <c r="E11" i="1"/>
  <c r="E12" i="1"/>
  <c r="E13" i="1"/>
  <c r="E48" i="1"/>
  <c r="E49" i="1"/>
  <c r="E50" i="1"/>
  <c r="E14" i="1"/>
  <c r="E15" i="1"/>
  <c r="E16" i="1"/>
  <c r="E51" i="1"/>
  <c r="E52" i="1"/>
  <c r="E53" i="1"/>
  <c r="E54" i="1"/>
  <c r="E17" i="1"/>
  <c r="E18" i="1"/>
  <c r="E19" i="1"/>
  <c r="E20" i="1"/>
  <c r="E21" i="1"/>
  <c r="E22" i="1"/>
  <c r="E23" i="1"/>
  <c r="E24" i="1"/>
  <c r="E55" i="1"/>
  <c r="E56" i="1"/>
  <c r="E25" i="1"/>
  <c r="E26" i="1"/>
  <c r="E57" i="1"/>
  <c r="E27" i="1"/>
  <c r="E28" i="1"/>
  <c r="E29" i="1"/>
  <c r="E30" i="1"/>
  <c r="E31" i="1"/>
  <c r="E32" i="1"/>
  <c r="E58" i="1"/>
  <c r="E59" i="1"/>
  <c r="E60" i="1"/>
  <c r="E61" i="1"/>
  <c r="E62" i="1"/>
  <c r="E63" i="1"/>
  <c r="E64" i="1"/>
  <c r="E33" i="1"/>
  <c r="E34" i="1"/>
  <c r="E35" i="1"/>
  <c r="E36" i="1"/>
  <c r="E37" i="1"/>
  <c r="E38" i="1"/>
  <c r="E39" i="1"/>
  <c r="E40" i="1"/>
  <c r="E41" i="1"/>
  <c r="E42" i="1"/>
  <c r="E65" i="1"/>
  <c r="E66" i="1"/>
  <c r="E67" i="1"/>
  <c r="E68" i="1"/>
  <c r="E43" i="1"/>
  <c r="E69" i="1"/>
  <c r="E70" i="1"/>
  <c r="E71" i="1"/>
  <c r="E44" i="1"/>
  <c r="E45" i="1"/>
  <c r="E46" i="1"/>
  <c r="E72" i="1"/>
  <c r="E73" i="1"/>
  <c r="E74" i="1"/>
  <c r="E75" i="1"/>
  <c r="E76" i="1"/>
  <c r="E77" i="1"/>
  <c r="E78" i="1"/>
  <c r="E3" i="1"/>
  <c r="C50" i="1"/>
  <c r="D88" i="1"/>
  <c r="D89" i="1"/>
  <c r="D90" i="1"/>
  <c r="D26" i="1"/>
  <c r="D91" i="1"/>
  <c r="D92" i="1"/>
  <c r="D111" i="1"/>
  <c r="D112" i="1"/>
  <c r="D113" i="1"/>
  <c r="D57" i="1"/>
  <c r="D114" i="1"/>
  <c r="D115" i="1"/>
  <c r="D116" i="1"/>
  <c r="D27" i="1"/>
  <c r="D93" i="1"/>
  <c r="D28" i="1"/>
  <c r="D29" i="1"/>
  <c r="D30" i="1"/>
  <c r="D94" i="1"/>
  <c r="D31" i="1"/>
  <c r="D32" i="1"/>
  <c r="D58" i="1"/>
  <c r="D59" i="1"/>
  <c r="D60" i="1"/>
  <c r="D117" i="1"/>
  <c r="D61" i="1"/>
  <c r="D62" i="1"/>
  <c r="D118" i="1"/>
  <c r="D63" i="1"/>
  <c r="D64" i="1"/>
  <c r="D95" i="1"/>
  <c r="D33" i="1"/>
  <c r="D34" i="1"/>
  <c r="D35" i="1"/>
  <c r="D36" i="1"/>
  <c r="D37" i="1"/>
  <c r="D38" i="1"/>
  <c r="D39" i="1"/>
  <c r="D40" i="1"/>
  <c r="D96" i="1"/>
  <c r="D97" i="1"/>
  <c r="D41" i="1"/>
  <c r="D42" i="1"/>
  <c r="D98" i="1"/>
  <c r="D119" i="1"/>
  <c r="D120" i="1"/>
  <c r="D121" i="1"/>
  <c r="D65" i="1"/>
  <c r="D66" i="1"/>
  <c r="D122" i="1"/>
  <c r="D67" i="1"/>
  <c r="D123" i="1"/>
  <c r="D68" i="1"/>
  <c r="D124" i="1"/>
  <c r="D43" i="1"/>
  <c r="D99" i="1"/>
  <c r="D69" i="1"/>
  <c r="D70" i="1"/>
  <c r="D71" i="1"/>
  <c r="D44" i="1"/>
  <c r="D100" i="1"/>
  <c r="D101" i="1"/>
  <c r="D45" i="1"/>
  <c r="D46" i="1"/>
  <c r="D102" i="1"/>
  <c r="D125" i="1"/>
  <c r="D72" i="1"/>
  <c r="D73" i="1"/>
  <c r="D74" i="1"/>
  <c r="D75" i="1"/>
  <c r="D76" i="1"/>
  <c r="D77" i="1"/>
  <c r="D78" i="1"/>
  <c r="D25" i="1"/>
  <c r="C81" i="1"/>
  <c r="C13" i="1" s="1"/>
  <c r="C49" i="1" s="1"/>
  <c r="C64" i="1" s="1"/>
  <c r="C9" i="1"/>
  <c r="C82" i="1" s="1"/>
  <c r="C104" i="1" s="1"/>
  <c r="C31" i="1"/>
  <c r="C10" i="1"/>
  <c r="C32" i="1"/>
  <c r="C80" i="1"/>
  <c r="C12" i="1" s="1"/>
  <c r="C59" i="1"/>
  <c r="C62" i="1" s="1"/>
  <c r="C60" i="1"/>
  <c r="C118" i="1" s="1"/>
  <c r="C117" i="1"/>
  <c r="C105" i="1"/>
  <c r="A88" i="1"/>
  <c r="A2" i="1"/>
  <c r="A3" i="1"/>
  <c r="A27" i="1"/>
  <c r="A93" i="1"/>
  <c r="A79" i="1"/>
  <c r="A95" i="1"/>
  <c r="A44" i="1"/>
  <c r="A100" i="1"/>
  <c r="A101" i="1"/>
  <c r="A21" i="1"/>
  <c r="A89" i="1"/>
  <c r="A90" i="1"/>
  <c r="A4" i="1"/>
  <c r="A28" i="1"/>
  <c r="A29" i="1"/>
  <c r="A30" i="1"/>
  <c r="A94" i="1"/>
  <c r="A80" i="1"/>
  <c r="A81" i="1"/>
  <c r="A33" i="1"/>
  <c r="A34" i="1"/>
  <c r="A35" i="1"/>
  <c r="A14" i="1"/>
  <c r="A15" i="1"/>
  <c r="A16" i="1"/>
  <c r="A83" i="1"/>
  <c r="A17" i="1"/>
  <c r="A18" i="1"/>
  <c r="A26" i="1"/>
  <c r="A5" i="1"/>
  <c r="A6" i="1"/>
  <c r="A9" i="1"/>
  <c r="A36" i="1"/>
  <c r="A19" i="1"/>
  <c r="A22" i="1"/>
  <c r="A23" i="1"/>
  <c r="A91" i="1"/>
  <c r="A7" i="1"/>
  <c r="A31" i="1"/>
  <c r="A10" i="1"/>
  <c r="A37" i="1"/>
  <c r="A38" i="1"/>
  <c r="A39" i="1"/>
  <c r="A40" i="1"/>
  <c r="A96" i="1"/>
  <c r="A97" i="1"/>
  <c r="A84" i="1"/>
  <c r="A86" i="1"/>
  <c r="A45" i="1"/>
  <c r="A92" i="1"/>
  <c r="A8" i="1"/>
  <c r="A32" i="1"/>
  <c r="A11" i="1"/>
  <c r="A12" i="1"/>
  <c r="A13" i="1"/>
  <c r="A82" i="1"/>
  <c r="A41" i="1"/>
  <c r="A42" i="1"/>
  <c r="A98" i="1"/>
  <c r="A85" i="1"/>
  <c r="A20" i="1"/>
  <c r="A43" i="1"/>
  <c r="A99" i="1"/>
  <c r="A87" i="1"/>
  <c r="A46" i="1"/>
  <c r="A102" i="1"/>
  <c r="A24" i="1"/>
  <c r="A25" i="1"/>
  <c r="F6" i="2"/>
  <c r="F5" i="2"/>
  <c r="F4" i="2"/>
  <c r="F3" i="2"/>
  <c r="F2" i="2"/>
  <c r="C93" i="1" l="1"/>
  <c r="C58" i="1" s="1"/>
  <c r="C61" i="1" s="1"/>
  <c r="C48" i="1"/>
  <c r="C63" i="1" l="1"/>
</calcChain>
</file>

<file path=xl/sharedStrings.xml><?xml version="1.0" encoding="utf-8"?>
<sst xmlns="http://schemas.openxmlformats.org/spreadsheetml/2006/main" count="396" uniqueCount="77">
  <si>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</si>
  <si>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</si>
  <si>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</si>
  <si>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</si>
  <si>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</si>
  <si>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</si>
  <si>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</si>
  <si>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</si>
  <si>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group E</t>
  </si>
  <si>
    <t>some college</t>
  </si>
  <si>
    <t>free/reduced</t>
  </si>
  <si>
    <t>none</t>
  </si>
  <si>
    <t>group B</t>
  </si>
  <si>
    <t>associate's degree</t>
  </si>
  <si>
    <t>group A</t>
  </si>
  <si>
    <t>some high school</t>
  </si>
  <si>
    <t>group D</t>
  </si>
  <si>
    <t>master's degree</t>
  </si>
  <si>
    <t>58,00</t>
  </si>
  <si>
    <t>bachelor's degree</t>
  </si>
  <si>
    <t>High School</t>
  </si>
  <si>
    <t>completed</t>
  </si>
  <si>
    <t>39,00</t>
  </si>
  <si>
    <t>group C</t>
  </si>
  <si>
    <t>60,00</t>
  </si>
  <si>
    <t>66,00</t>
  </si>
  <si>
    <t>64,00</t>
  </si>
  <si>
    <t>high school</t>
  </si>
  <si>
    <t>77,00</t>
  </si>
  <si>
    <t>78,00</t>
  </si>
  <si>
    <t>80,00</t>
  </si>
  <si>
    <t>92,00</t>
  </si>
  <si>
    <t>70,00</t>
  </si>
  <si>
    <t>90,00</t>
  </si>
  <si>
    <t>56,00</t>
  </si>
  <si>
    <t>1) Le jeu de donnees contient 125 echantillons ,correspondant a 125 eleves</t>
  </si>
  <si>
    <t>6) Le groupe de race/ethnie a le pourcentage le plus bas :</t>
  </si>
  <si>
    <t>7.2) Répartition des scores par matière</t>
  </si>
  <si>
    <t>7.3) Répartition des scores par matière</t>
  </si>
  <si>
    <t>7.1) Répartition des scores par matière</t>
  </si>
  <si>
    <t xml:space="preserve">      groupe C</t>
  </si>
  <si>
    <t>:lecture</t>
  </si>
  <si>
    <t>:ecriture</t>
  </si>
  <si>
    <t xml:space="preserve">       [61,122]</t>
  </si>
  <si>
    <t xml:space="preserve">         [59,75]</t>
  </si>
  <si>
    <t xml:space="preserve">         [57,76]</t>
  </si>
  <si>
    <t xml:space="preserve">            male</t>
  </si>
  <si>
    <t>8) Le score maximal en math est de :999 et appartient a un</t>
  </si>
  <si>
    <t>9) La race/ethnie qui a obtenu le meilleure score en mathematiques est :</t>
  </si>
  <si>
    <t>:mathematiques:</t>
  </si>
  <si>
    <t xml:space="preserve">      groupe D</t>
  </si>
  <si>
    <t>3) Le pourcentage d'eleve ayant termines le cours de preparation au test est :Nombre / Total *100 :77 /125 * 100</t>
  </si>
  <si>
    <t>2.1) Le pourcentage d'eleves masculins est de :Nombre_male / Total * 100 : 56 / 125 * 100</t>
  </si>
  <si>
    <t>2.2) Le pourcentage d'eleves feminins est de : Nombre_femelle / Total * 100 : 69 / 125 * 100</t>
  </si>
  <si>
    <t>4) Le pourcentage d'eleve ayant un dejeuner Standard est :Nombre / Total *100 : 74 / 125 *100</t>
  </si>
  <si>
    <t xml:space="preserve">5) Le pourcentage de parents  ayant un niveau d'etude plus que celle de "Lyceen" est :Nombre / Total *100 :  62 / 125 *100				</t>
  </si>
  <si>
    <t>10) L'apercu dont j'en fais est que :61,6 % des élèves ont terminé le cours de préparation au test, ce qui représente la majorité de l'échantillon</t>
  </si>
  <si>
    <t>1) The dataset contains 125 samples, corresponding to 125 students</t>
  </si>
  <si>
    <t>2.2)The percentage of female students is: Number of female students / Total × 100: 69 / 125 × 100</t>
  </si>
  <si>
    <t>2.1) The percentage of male students is: Number of male students / Total × 100: 56 / 125 × 100</t>
  </si>
  <si>
    <t>3) The percentage of students who completed the test preparation course is: Number of students / Total × 100: 77 / 125 × 100</t>
  </si>
  <si>
    <t>4)The percentage of students with a standard lunch is: Number of students / Total × 100: 74 / 125 × 100</t>
  </si>
  <si>
    <t>5)The percentage of parents with an education level higher than high school is: Number of parents / Total × 100: 62 / 125 × 100</t>
  </si>
  <si>
    <t>6)The race/ethnicity group with the lowest percentage is:</t>
  </si>
  <si>
    <t>7.1)The Mathematics score range with the highest frequency is:</t>
  </si>
  <si>
    <t>7.2)The Reading score range with the highest frequency is:</t>
  </si>
  <si>
    <t>7.3)The Writing score range with the highest frequency is:</t>
  </si>
  <si>
    <t>9)The race/ethnicity group that achieved the highest Mathematics score is:</t>
  </si>
  <si>
    <t>10)61.6% of the students completed the test preparation course, which represents the majority of the sample</t>
  </si>
  <si>
    <t xml:space="preserve">             44.8</t>
  </si>
  <si>
    <t xml:space="preserve">             55.2</t>
  </si>
  <si>
    <t xml:space="preserve">             61.6</t>
  </si>
  <si>
    <t xml:space="preserve">             59.2</t>
  </si>
  <si>
    <t xml:space="preserve">             49.6</t>
  </si>
  <si>
    <t xml:space="preserve">      Groupe D</t>
  </si>
  <si>
    <t xml:space="preserve">      Groupe C</t>
  </si>
  <si>
    <t>8)The highest Mathematics score is: 999 and it belongs to 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</si>
</sst>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C98B-440A-9D36-8BEAB6ED1FE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0-D9FD-43EF-86B9-38134C92C24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2065-41B1-B501-44DCDDA01C3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108</xdr:row>
      <xdr:rowOff>76200</xdr:rowOff>
    </xdr:from>
    <xdr:to>
      <xdr:col>12</xdr:col>
      <xdr:colOff>215899</xdr:colOff>
      <xdr:row>119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D0C55948-FB7E-DCC7-E178-FDD30E094A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00" y="17868900"/>
              <a:ext cx="2425699" cy="182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9</xdr:col>
      <xdr:colOff>431799</xdr:colOff>
      <xdr:row>120</xdr:row>
      <xdr:rowOff>6350</xdr:rowOff>
    </xdr:from>
    <xdr:to>
      <xdr:col>12</xdr:col>
      <xdr:colOff>428624</xdr:colOff>
      <xdr:row>131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phique 4">
              <a:extLst>
                <a:ext uri="{FF2B5EF4-FFF2-40B4-BE49-F238E27FC236}">
                  <a16:creationId xmlns:a16="http://schemas.microsoft.com/office/drawing/2014/main" id="{A7753D06-EBB0-DBD6-A4D5-2DF713F46C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5649" y="19704050"/>
              <a:ext cx="2644775" cy="208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9</xdr:col>
      <xdr:colOff>387349</xdr:colOff>
      <xdr:row>93</xdr:row>
      <xdr:rowOff>31750</xdr:rowOff>
    </xdr:from>
    <xdr:to>
      <xdr:col>13</xdr:col>
      <xdr:colOff>79374</xdr:colOff>
      <xdr:row>107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74CA6780-F8D8-2ACA-BF1E-BAE097411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1199" y="15443200"/>
              <a:ext cx="3222625" cy="2254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6"/>
  <sheetViews>
    <sheetView workbookViewId="0">
      <selection activeCell="F127" sqref="F127"/>
    </sheetView>
  </sheetViews>
  <sheetFormatPr baseColWidth="10" defaultColWidth="12.6328125" defaultRowHeight="15.75" customHeight="1" x14ac:dyDescent="0.25"/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tr">
        <f>LOWER("Female")</f>
        <v>female</v>
      </c>
      <c r="B2" s="1" t="s">
        <v>14</v>
      </c>
      <c r="C2" s="1" t="s">
        <v>13</v>
      </c>
      <c r="D2" s="1" t="s">
        <v>10</v>
      </c>
      <c r="E2" s="1" t="s">
        <v>21</v>
      </c>
      <c r="F2" s="1">
        <v>43</v>
      </c>
      <c r="G2" s="1">
        <v>79</v>
      </c>
      <c r="H2" s="1">
        <v>87</v>
      </c>
    </row>
    <row r="3" spans="1:8" ht="15.75" customHeight="1" x14ac:dyDescent="0.25">
      <c r="A3" s="1" t="str">
        <f>LOWER("Female")</f>
        <v>female</v>
      </c>
      <c r="B3" s="1" t="s">
        <v>14</v>
      </c>
      <c r="C3" s="1" t="s">
        <v>13</v>
      </c>
      <c r="D3" s="1" t="s">
        <v>10</v>
      </c>
      <c r="E3" s="1" t="str">
        <f>LOWER("Completed")</f>
        <v>completed</v>
      </c>
      <c r="F3" s="1">
        <v>88</v>
      </c>
      <c r="G3" s="2">
        <v>0.45</v>
      </c>
      <c r="H3" s="1">
        <v>68</v>
      </c>
    </row>
    <row r="4" spans="1:8" ht="15.75" customHeight="1" x14ac:dyDescent="0.25">
      <c r="A4" s="1" t="str">
        <f>LOWER("Female")</f>
        <v>female</v>
      </c>
      <c r="B4" s="1" t="s">
        <v>12</v>
      </c>
      <c r="C4" s="1" t="s">
        <v>13</v>
      </c>
      <c r="D4" s="1" t="s">
        <v>10</v>
      </c>
      <c r="E4" s="1" t="str">
        <f>LOWER("Completed")</f>
        <v>completed</v>
      </c>
      <c r="F4" s="2">
        <v>0.57999999999999996</v>
      </c>
      <c r="H4" s="1">
        <v>76</v>
      </c>
    </row>
    <row r="5" spans="1:8" ht="15.75" customHeight="1" x14ac:dyDescent="0.25">
      <c r="A5" s="1" t="str">
        <f>LOWER("Female")</f>
        <v>female</v>
      </c>
      <c r="B5" s="1" t="s">
        <v>23</v>
      </c>
      <c r="C5" s="1" t="s">
        <v>13</v>
      </c>
      <c r="D5" s="1" t="s">
        <v>10</v>
      </c>
      <c r="E5" s="1" t="str">
        <f>LOWER("Completed")</f>
        <v>completed</v>
      </c>
      <c r="F5" s="1">
        <v>29</v>
      </c>
      <c r="G5" s="1">
        <v>65</v>
      </c>
      <c r="H5" s="1">
        <v>75</v>
      </c>
    </row>
    <row r="6" spans="1:8" ht="15.75" customHeight="1" x14ac:dyDescent="0.25">
      <c r="A6" s="1" t="str">
        <f>LOWER("Female")</f>
        <v>female</v>
      </c>
      <c r="B6" s="1" t="s">
        <v>23</v>
      </c>
      <c r="C6" s="1" t="s">
        <v>13</v>
      </c>
      <c r="D6" s="1" t="s">
        <v>10</v>
      </c>
      <c r="E6" s="1" t="str">
        <f>LOWER("Completed")</f>
        <v>completed</v>
      </c>
      <c r="F6" s="1">
        <v>29</v>
      </c>
      <c r="G6" s="1">
        <v>65</v>
      </c>
      <c r="H6" s="1">
        <v>75</v>
      </c>
    </row>
    <row r="7" spans="1:8" ht="15.75" customHeight="1" x14ac:dyDescent="0.25">
      <c r="A7" s="1" t="str">
        <f>LOWER("Female")</f>
        <v>female</v>
      </c>
      <c r="B7" s="1" t="s">
        <v>16</v>
      </c>
      <c r="C7" s="1" t="s">
        <v>13</v>
      </c>
      <c r="D7" s="1" t="s">
        <v>10</v>
      </c>
      <c r="E7" s="1" t="str">
        <f>LOWER("Completed")</f>
        <v>completed</v>
      </c>
      <c r="F7" s="1">
        <v>68</v>
      </c>
      <c r="G7" s="1">
        <v>58</v>
      </c>
    </row>
    <row r="8" spans="1:8" ht="15.75" customHeight="1" x14ac:dyDescent="0.25">
      <c r="A8" s="1" t="str">
        <f>LOWER("Female")</f>
        <v>female</v>
      </c>
      <c r="B8" s="1" t="s">
        <v>8</v>
      </c>
      <c r="C8" s="1" t="s">
        <v>13</v>
      </c>
      <c r="D8" s="1" t="s">
        <v>10</v>
      </c>
      <c r="E8" s="1" t="str">
        <f>LOWER("Completed")</f>
        <v>completed</v>
      </c>
      <c r="F8" s="1">
        <v>51</v>
      </c>
      <c r="G8" s="1">
        <v>64</v>
      </c>
      <c r="H8" s="1">
        <v>58</v>
      </c>
    </row>
    <row r="9" spans="1:8" ht="15.75" customHeight="1" x14ac:dyDescent="0.25">
      <c r="A9" s="1" t="str">
        <f>LOWER("Female")</f>
        <v>female</v>
      </c>
      <c r="B9" s="1" t="s">
        <v>23</v>
      </c>
      <c r="C9" s="1" t="str">
        <f>LOWER("Bachelor's Degree")</f>
        <v>bachelor's degree</v>
      </c>
      <c r="D9" s="1" t="s">
        <v>10</v>
      </c>
      <c r="E9" s="1" t="str">
        <f>LOWER("Completed")</f>
        <v>completed</v>
      </c>
      <c r="F9" s="1">
        <v>53</v>
      </c>
      <c r="G9" s="1">
        <v>73</v>
      </c>
      <c r="H9" s="1">
        <v>90</v>
      </c>
    </row>
    <row r="10" spans="1:8" ht="15.75" customHeight="1" x14ac:dyDescent="0.25">
      <c r="A10" s="1" t="str">
        <f>LOWER("Female")</f>
        <v>female</v>
      </c>
      <c r="B10" s="1" t="s">
        <v>16</v>
      </c>
      <c r="C10" s="1" t="str">
        <f>LOWER("Bachelor's Degree")</f>
        <v>bachelor's degree</v>
      </c>
      <c r="D10" s="1" t="s">
        <v>10</v>
      </c>
      <c r="E10" s="1" t="str">
        <f>LOWER("Completed")</f>
        <v>completed</v>
      </c>
      <c r="F10" s="1" t="s">
        <v>34</v>
      </c>
      <c r="G10" s="1">
        <v>58</v>
      </c>
      <c r="H10" s="1">
        <v>94</v>
      </c>
    </row>
    <row r="11" spans="1:8" ht="15.75" customHeight="1" x14ac:dyDescent="0.25">
      <c r="A11" s="1" t="str">
        <f>LOWER("Female")</f>
        <v>female</v>
      </c>
      <c r="B11" s="1" t="s">
        <v>8</v>
      </c>
      <c r="C11" s="1" t="s">
        <v>19</v>
      </c>
      <c r="D11" s="1" t="s">
        <v>10</v>
      </c>
      <c r="E11" s="1" t="str">
        <f>LOWER("Completed")</f>
        <v>completed</v>
      </c>
      <c r="F11" s="1">
        <v>69</v>
      </c>
      <c r="G11" s="1">
        <v>66</v>
      </c>
      <c r="H11" s="1">
        <v>35</v>
      </c>
    </row>
    <row r="12" spans="1:8" ht="15.75" customHeight="1" x14ac:dyDescent="0.25">
      <c r="A12" s="1" t="str">
        <f>LOWER("Female")</f>
        <v>female</v>
      </c>
      <c r="B12" s="1" t="s">
        <v>8</v>
      </c>
      <c r="C12" s="1" t="str">
        <f>LOWER(C5)</f>
        <v>associate's degree</v>
      </c>
      <c r="D12" s="1" t="s">
        <v>10</v>
      </c>
      <c r="E12" s="1" t="str">
        <f>LOWER("Completed")</f>
        <v>completed</v>
      </c>
      <c r="F12" s="1">
        <v>72</v>
      </c>
      <c r="G12" s="1">
        <v>79</v>
      </c>
      <c r="H12" s="1">
        <v>96</v>
      </c>
    </row>
    <row r="13" spans="1:8" ht="15.75" customHeight="1" x14ac:dyDescent="0.25">
      <c r="A13" s="1" t="str">
        <f>LOWER("Female")</f>
        <v>female</v>
      </c>
      <c r="B13" s="1" t="s">
        <v>8</v>
      </c>
      <c r="C13" s="1" t="str">
        <f>LOWER(C6)</f>
        <v>associate's degree</v>
      </c>
      <c r="D13" s="1" t="s">
        <v>10</v>
      </c>
      <c r="E13" s="1" t="str">
        <f>LOWER("Completed")</f>
        <v>completed</v>
      </c>
      <c r="F13" s="1">
        <v>98</v>
      </c>
      <c r="G13" s="1">
        <v>74</v>
      </c>
      <c r="H13" s="1">
        <v>46</v>
      </c>
    </row>
    <row r="14" spans="1:8" ht="15.75" customHeight="1" x14ac:dyDescent="0.25">
      <c r="A14" s="1" t="str">
        <f>LOWER("Female")</f>
        <v>female</v>
      </c>
      <c r="B14" s="1" t="s">
        <v>12</v>
      </c>
      <c r="C14" s="1" t="s">
        <v>20</v>
      </c>
      <c r="D14" s="1" t="s">
        <v>10</v>
      </c>
      <c r="E14" s="1" t="str">
        <f>LOWER("Completed")</f>
        <v>completed</v>
      </c>
      <c r="F14" s="1">
        <v>68</v>
      </c>
      <c r="G14" s="1">
        <v>68</v>
      </c>
      <c r="H14" s="1">
        <v>55</v>
      </c>
    </row>
    <row r="15" spans="1:8" ht="15.75" customHeight="1" x14ac:dyDescent="0.25">
      <c r="A15" s="1" t="str">
        <f>LOWER("Female")</f>
        <v>female</v>
      </c>
      <c r="B15" s="1" t="s">
        <v>12</v>
      </c>
      <c r="C15" s="1" t="s">
        <v>27</v>
      </c>
      <c r="D15" s="1" t="s">
        <v>10</v>
      </c>
      <c r="E15" s="1" t="str">
        <f>LOWER("Completed")</f>
        <v>completed</v>
      </c>
      <c r="F15" s="1">
        <v>52</v>
      </c>
      <c r="G15" s="1">
        <v>65</v>
      </c>
      <c r="H15" s="1" t="s">
        <v>32</v>
      </c>
    </row>
    <row r="16" spans="1:8" ht="15.75" customHeight="1" x14ac:dyDescent="0.25">
      <c r="A16" s="1" t="str">
        <f>LOWER("Female")</f>
        <v>female</v>
      </c>
      <c r="B16" s="1" t="s">
        <v>12</v>
      </c>
      <c r="C16" s="1" t="s">
        <v>20</v>
      </c>
      <c r="D16" s="1" t="s">
        <v>10</v>
      </c>
      <c r="E16" s="1" t="str">
        <f>LOWER("Completed")</f>
        <v>completed</v>
      </c>
      <c r="F16" s="1">
        <v>68</v>
      </c>
      <c r="G16" s="1">
        <v>68</v>
      </c>
      <c r="H16" s="1">
        <v>55</v>
      </c>
    </row>
    <row r="17" spans="1:8" ht="15.75" customHeight="1" x14ac:dyDescent="0.25">
      <c r="A17" s="1" t="str">
        <f>LOWER("Female")</f>
        <v>female</v>
      </c>
      <c r="B17" s="1" t="s">
        <v>12</v>
      </c>
      <c r="C17" s="1" t="s">
        <v>17</v>
      </c>
      <c r="D17" s="1" t="s">
        <v>10</v>
      </c>
      <c r="E17" s="1" t="str">
        <f>LOWER("Completed")</f>
        <v>completed</v>
      </c>
      <c r="F17" s="1">
        <v>71</v>
      </c>
      <c r="G17" s="1">
        <v>43</v>
      </c>
      <c r="H17" s="1">
        <v>71</v>
      </c>
    </row>
    <row r="18" spans="1:8" ht="12.5" x14ac:dyDescent="0.25">
      <c r="A18" s="1" t="str">
        <f>LOWER("Female")</f>
        <v>female</v>
      </c>
      <c r="B18" s="1" t="s">
        <v>12</v>
      </c>
      <c r="C18" s="1" t="s">
        <v>17</v>
      </c>
      <c r="D18" s="1" t="s">
        <v>10</v>
      </c>
      <c r="E18" s="1" t="str">
        <f>LOWER("Completed")</f>
        <v>completed</v>
      </c>
      <c r="F18" s="1">
        <v>58</v>
      </c>
      <c r="G18" s="1">
        <v>56</v>
      </c>
      <c r="H18" s="1">
        <v>63</v>
      </c>
    </row>
    <row r="19" spans="1:8" ht="12.5" x14ac:dyDescent="0.25">
      <c r="A19" s="1" t="str">
        <f>LOWER("Female")</f>
        <v>female</v>
      </c>
      <c r="B19" s="1" t="s">
        <v>23</v>
      </c>
      <c r="C19" s="1" t="s">
        <v>17</v>
      </c>
      <c r="D19" s="1" t="s">
        <v>10</v>
      </c>
      <c r="E19" s="1" t="str">
        <f>LOWER("Completed")</f>
        <v>completed</v>
      </c>
      <c r="F19" s="1">
        <v>74</v>
      </c>
      <c r="G19" s="1">
        <v>75</v>
      </c>
      <c r="H19" s="1">
        <v>100</v>
      </c>
    </row>
    <row r="20" spans="1:8" ht="12.5" x14ac:dyDescent="0.25">
      <c r="A20" s="1" t="str">
        <f>LOWER("Female")</f>
        <v>female</v>
      </c>
      <c r="B20" s="1" t="s">
        <v>8</v>
      </c>
      <c r="C20" s="1" t="s">
        <v>17</v>
      </c>
      <c r="D20" s="1" t="s">
        <v>10</v>
      </c>
      <c r="E20" s="1" t="str">
        <f>LOWER("Completed")</f>
        <v>completed</v>
      </c>
      <c r="F20" s="1">
        <v>72</v>
      </c>
      <c r="G20" s="1">
        <v>50</v>
      </c>
      <c r="H20" s="1">
        <v>80</v>
      </c>
    </row>
    <row r="21" spans="1:8" ht="12.5" x14ac:dyDescent="0.25">
      <c r="A21" s="1" t="str">
        <f>LOWER("Female")</f>
        <v>female</v>
      </c>
      <c r="B21" s="1" t="s">
        <v>14</v>
      </c>
      <c r="C21" s="1" t="s">
        <v>15</v>
      </c>
      <c r="D21" s="1" t="s">
        <v>10</v>
      </c>
      <c r="E21" s="1" t="str">
        <f>LOWER("Completed")</f>
        <v>completed</v>
      </c>
      <c r="F21" s="1">
        <v>48</v>
      </c>
      <c r="G21" s="1">
        <v>48</v>
      </c>
      <c r="H21" s="1">
        <v>89</v>
      </c>
    </row>
    <row r="22" spans="1:8" ht="12.5" x14ac:dyDescent="0.25">
      <c r="A22" s="1" t="str">
        <f>LOWER("Female")</f>
        <v>female</v>
      </c>
      <c r="B22" s="1" t="s">
        <v>23</v>
      </c>
      <c r="C22" s="1" t="s">
        <v>15</v>
      </c>
      <c r="D22" s="1" t="s">
        <v>10</v>
      </c>
      <c r="E22" s="1" t="str">
        <f>LOWER("Completed")</f>
        <v>completed</v>
      </c>
      <c r="F22" s="1">
        <v>93</v>
      </c>
      <c r="G22" s="1">
        <v>50</v>
      </c>
      <c r="H22" s="1">
        <v>100</v>
      </c>
    </row>
    <row r="23" spans="1:8" ht="12.5" x14ac:dyDescent="0.25">
      <c r="A23" s="1" t="str">
        <f>LOWER("Female")</f>
        <v>female</v>
      </c>
      <c r="B23" s="1" t="s">
        <v>23</v>
      </c>
      <c r="C23" s="1" t="s">
        <v>15</v>
      </c>
      <c r="D23" s="1" t="s">
        <v>10</v>
      </c>
      <c r="E23" s="1" t="str">
        <f>LOWER("Completed")</f>
        <v>completed</v>
      </c>
      <c r="F23" s="1">
        <v>71</v>
      </c>
      <c r="G23" s="1">
        <v>59</v>
      </c>
      <c r="H23" s="2">
        <v>0.61</v>
      </c>
    </row>
    <row r="24" spans="1:8" ht="12.5" x14ac:dyDescent="0.25">
      <c r="A24" s="1" t="str">
        <f>LOWER("Female")</f>
        <v>female</v>
      </c>
      <c r="B24" s="1" t="s">
        <v>8</v>
      </c>
      <c r="C24" s="1" t="s">
        <v>15</v>
      </c>
      <c r="D24" s="1" t="s">
        <v>10</v>
      </c>
      <c r="E24" s="1" t="str">
        <f>LOWER("Completed")</f>
        <v>completed</v>
      </c>
      <c r="F24" s="1">
        <v>71</v>
      </c>
      <c r="H24" s="1">
        <v>80</v>
      </c>
    </row>
    <row r="25" spans="1:8" ht="12.5" x14ac:dyDescent="0.25">
      <c r="A25" s="1" t="str">
        <f>LOWER("Female")</f>
        <v>female</v>
      </c>
      <c r="B25" s="1" t="s">
        <v>14</v>
      </c>
      <c r="C25" s="1" t="s">
        <v>13</v>
      </c>
      <c r="D25" s="1" t="str">
        <f>LOWER("Standard")</f>
        <v>standard</v>
      </c>
      <c r="E25" s="1" t="str">
        <f>LOWER("Completed")</f>
        <v>completed</v>
      </c>
      <c r="F25" s="1">
        <v>79</v>
      </c>
      <c r="G25" s="1">
        <v>79</v>
      </c>
      <c r="H25" s="1">
        <v>86</v>
      </c>
    </row>
    <row r="26" spans="1:8" ht="12.5" x14ac:dyDescent="0.25">
      <c r="A26" s="1" t="str">
        <f>LOWER("Female")</f>
        <v>female</v>
      </c>
      <c r="B26" s="1" t="s">
        <v>23</v>
      </c>
      <c r="C26" s="1" t="s">
        <v>13</v>
      </c>
      <c r="D26" s="1" t="str">
        <f>LOWER("Standard")</f>
        <v>standard</v>
      </c>
      <c r="E26" s="1" t="str">
        <f>LOWER("Completed")</f>
        <v>completed</v>
      </c>
      <c r="F26" s="1">
        <v>43</v>
      </c>
      <c r="G26" s="1">
        <v>83</v>
      </c>
      <c r="H26" s="1">
        <v>78</v>
      </c>
    </row>
    <row r="27" spans="1:8" ht="12.5" x14ac:dyDescent="0.25">
      <c r="A27" s="1" t="str">
        <f>LOWER("Female")</f>
        <v>female</v>
      </c>
      <c r="B27" s="1" t="s">
        <v>14</v>
      </c>
      <c r="C27" s="1" t="s">
        <v>19</v>
      </c>
      <c r="D27" s="1" t="str">
        <f>LOWER("Standard")</f>
        <v>standard</v>
      </c>
      <c r="E27" s="1" t="str">
        <f>LOWER("Completed")</f>
        <v>completed</v>
      </c>
      <c r="F27" s="1">
        <v>79</v>
      </c>
      <c r="G27" s="1">
        <v>76</v>
      </c>
      <c r="H27" s="1">
        <v>76</v>
      </c>
    </row>
    <row r="28" spans="1:8" ht="12.5" x14ac:dyDescent="0.25">
      <c r="A28" s="1" t="str">
        <f>LOWER("Female")</f>
        <v>female</v>
      </c>
      <c r="B28" s="1" t="s">
        <v>12</v>
      </c>
      <c r="C28" s="1" t="s">
        <v>19</v>
      </c>
      <c r="D28" s="1" t="str">
        <f>LOWER("Standard")</f>
        <v>standard</v>
      </c>
      <c r="E28" s="1" t="str">
        <f>LOWER("Completed")</f>
        <v>completed</v>
      </c>
      <c r="G28" s="1">
        <v>100</v>
      </c>
      <c r="H28" s="1">
        <v>36</v>
      </c>
    </row>
    <row r="29" spans="1:8" ht="12.5" x14ac:dyDescent="0.25">
      <c r="A29" s="1" t="str">
        <f>LOWER("Female")</f>
        <v>female</v>
      </c>
      <c r="B29" s="1" t="s">
        <v>12</v>
      </c>
      <c r="C29" s="1" t="s">
        <v>19</v>
      </c>
      <c r="D29" s="1" t="str">
        <f>LOWER("Standard")</f>
        <v>standard</v>
      </c>
      <c r="E29" s="1" t="str">
        <f>LOWER("Completed")</f>
        <v>completed</v>
      </c>
      <c r="F29" s="1">
        <v>73</v>
      </c>
      <c r="G29" s="1" t="s">
        <v>25</v>
      </c>
      <c r="H29" s="1">
        <v>52</v>
      </c>
    </row>
    <row r="30" spans="1:8" ht="12.5" x14ac:dyDescent="0.25">
      <c r="A30" s="1" t="str">
        <f>LOWER("Female")</f>
        <v>female</v>
      </c>
      <c r="B30" s="1" t="s">
        <v>12</v>
      </c>
      <c r="C30" s="1" t="s">
        <v>19</v>
      </c>
      <c r="D30" s="1" t="str">
        <f>LOWER("Standard")</f>
        <v>standard</v>
      </c>
      <c r="E30" s="1" t="str">
        <f>LOWER("Completed")</f>
        <v>completed</v>
      </c>
      <c r="F30" s="1">
        <v>61</v>
      </c>
      <c r="G30" s="1">
        <v>72</v>
      </c>
      <c r="H30" s="1">
        <v>65</v>
      </c>
    </row>
    <row r="31" spans="1:8" ht="12.5" x14ac:dyDescent="0.25">
      <c r="A31" s="1" t="str">
        <f>LOWER("Female")</f>
        <v>female</v>
      </c>
      <c r="B31" s="1" t="s">
        <v>16</v>
      </c>
      <c r="C31" s="1" t="str">
        <f>LOWER("Bachelor's Degree")</f>
        <v>bachelor's degree</v>
      </c>
      <c r="D31" s="1" t="str">
        <f>LOWER("Standard")</f>
        <v>standard</v>
      </c>
      <c r="E31" s="1" t="str">
        <f>LOWER("Completed")</f>
        <v>completed</v>
      </c>
      <c r="F31" s="1">
        <v>79</v>
      </c>
      <c r="G31" s="1">
        <v>55</v>
      </c>
      <c r="H31" s="1">
        <v>88</v>
      </c>
    </row>
    <row r="32" spans="1:8" ht="12.5" x14ac:dyDescent="0.25">
      <c r="A32" s="1" t="str">
        <f>LOWER("Female")</f>
        <v>female</v>
      </c>
      <c r="B32" s="1" t="s">
        <v>8</v>
      </c>
      <c r="C32" s="1" t="str">
        <f>LOWER("Bachelor's Degree")</f>
        <v>bachelor's degree</v>
      </c>
      <c r="D32" s="1" t="str">
        <f>LOWER("Standard")</f>
        <v>standard</v>
      </c>
      <c r="E32" s="1" t="str">
        <f>LOWER("Completed")</f>
        <v>completed</v>
      </c>
      <c r="F32" s="1">
        <v>64</v>
      </c>
      <c r="G32" s="1">
        <v>55</v>
      </c>
      <c r="H32" s="1">
        <v>67</v>
      </c>
    </row>
    <row r="33" spans="1:8" ht="12.5" x14ac:dyDescent="0.25">
      <c r="A33" s="1" t="str">
        <f>LOWER("Female")</f>
        <v>female</v>
      </c>
      <c r="B33" s="1" t="s">
        <v>12</v>
      </c>
      <c r="C33" s="1" t="s">
        <v>20</v>
      </c>
      <c r="D33" s="1" t="str">
        <f>LOWER("Standard")</f>
        <v>standard</v>
      </c>
      <c r="E33" s="1" t="str">
        <f>LOWER("Completed")</f>
        <v>completed</v>
      </c>
      <c r="F33" s="1">
        <v>85</v>
      </c>
      <c r="G33" s="1">
        <v>56</v>
      </c>
      <c r="H33" s="1">
        <v>81</v>
      </c>
    </row>
    <row r="34" spans="1:8" ht="12.5" x14ac:dyDescent="0.25">
      <c r="A34" s="1" t="str">
        <f>LOWER("Female")</f>
        <v>female</v>
      </c>
      <c r="B34" s="1" t="s">
        <v>12</v>
      </c>
      <c r="C34" s="1" t="s">
        <v>20</v>
      </c>
      <c r="D34" s="1" t="str">
        <f>LOWER("Standard")</f>
        <v>standard</v>
      </c>
      <c r="E34" s="1" t="str">
        <f>LOWER("Completed")</f>
        <v>completed</v>
      </c>
      <c r="F34" s="1">
        <v>85</v>
      </c>
      <c r="G34" s="1">
        <v>56</v>
      </c>
      <c r="H34" s="1">
        <v>81</v>
      </c>
    </row>
    <row r="35" spans="1:8" ht="12.5" x14ac:dyDescent="0.25">
      <c r="A35" s="1" t="str">
        <f>LOWER("Female")</f>
        <v>female</v>
      </c>
      <c r="B35" s="1" t="s">
        <v>12</v>
      </c>
      <c r="C35" s="1" t="s">
        <v>27</v>
      </c>
      <c r="D35" s="1" t="str">
        <f>LOWER("Standard")</f>
        <v>standard</v>
      </c>
      <c r="E35" s="1" t="str">
        <f>LOWER("Completed")</f>
        <v>completed</v>
      </c>
      <c r="F35" s="1">
        <v>70</v>
      </c>
      <c r="G35" s="1">
        <v>71</v>
      </c>
      <c r="H35" s="1" t="s">
        <v>25</v>
      </c>
    </row>
    <row r="36" spans="1:8" ht="12.5" x14ac:dyDescent="0.25">
      <c r="A36" s="1" t="str">
        <f>LOWER("Female")</f>
        <v>female</v>
      </c>
      <c r="B36" s="1" t="s">
        <v>23</v>
      </c>
      <c r="C36" s="1" t="s">
        <v>20</v>
      </c>
      <c r="D36" s="1" t="str">
        <f>LOWER("Standard")</f>
        <v>standard</v>
      </c>
      <c r="E36" s="1" t="str">
        <f>LOWER("Completed")</f>
        <v>completed</v>
      </c>
      <c r="F36" s="1">
        <v>69</v>
      </c>
      <c r="G36" s="1">
        <v>72</v>
      </c>
      <c r="H36" s="1">
        <v>54</v>
      </c>
    </row>
    <row r="37" spans="1:8" ht="12.5" x14ac:dyDescent="0.25">
      <c r="A37" s="1" t="str">
        <f>LOWER("Female")</f>
        <v>female</v>
      </c>
      <c r="B37" s="1" t="s">
        <v>16</v>
      </c>
      <c r="C37" s="1" t="s">
        <v>27</v>
      </c>
      <c r="D37" s="1" t="str">
        <f>LOWER("Standard")</f>
        <v>standard</v>
      </c>
      <c r="E37" s="1" t="str">
        <f>LOWER("Completed")</f>
        <v>completed</v>
      </c>
      <c r="F37" s="1">
        <v>54</v>
      </c>
      <c r="G37" s="1">
        <v>53</v>
      </c>
      <c r="H37" s="1">
        <v>71</v>
      </c>
    </row>
    <row r="38" spans="1:8" ht="12.5" x14ac:dyDescent="0.25">
      <c r="A38" s="1" t="str">
        <f>LOWER("Female")</f>
        <v>female</v>
      </c>
      <c r="B38" s="1" t="s">
        <v>16</v>
      </c>
      <c r="C38" s="1" t="s">
        <v>20</v>
      </c>
      <c r="D38" s="1" t="str">
        <f>LOWER("Standard")</f>
        <v>standard</v>
      </c>
      <c r="E38" s="1" t="str">
        <f>LOWER("Completed")</f>
        <v>completed</v>
      </c>
      <c r="F38" s="1">
        <v>100</v>
      </c>
      <c r="G38" s="1">
        <v>76</v>
      </c>
      <c r="H38" s="1">
        <v>33</v>
      </c>
    </row>
    <row r="39" spans="1:8" ht="12.5" x14ac:dyDescent="0.25">
      <c r="A39" s="1" t="str">
        <f>LOWER("Female")</f>
        <v>female</v>
      </c>
      <c r="B39" s="1" t="s">
        <v>16</v>
      </c>
      <c r="C39" s="1" t="s">
        <v>27</v>
      </c>
      <c r="D39" s="1" t="str">
        <f>LOWER("Standard")</f>
        <v>standard</v>
      </c>
      <c r="E39" s="1" t="str">
        <f>LOWER("Completed")</f>
        <v>completed</v>
      </c>
      <c r="F39" s="1">
        <v>71</v>
      </c>
      <c r="G39" s="1">
        <v>88</v>
      </c>
      <c r="H39" s="1">
        <v>57</v>
      </c>
    </row>
    <row r="40" spans="1:8" ht="12.5" x14ac:dyDescent="0.25">
      <c r="A40" s="1" t="str">
        <f>LOWER("Female")</f>
        <v>female</v>
      </c>
      <c r="B40" s="1" t="s">
        <v>16</v>
      </c>
      <c r="C40" s="1" t="s">
        <v>20</v>
      </c>
      <c r="D40" s="1" t="str">
        <f>LOWER("Standard")</f>
        <v>standard</v>
      </c>
      <c r="E40" s="1" t="str">
        <f>LOWER("Completed")</f>
        <v>completed</v>
      </c>
      <c r="F40" s="1">
        <v>68</v>
      </c>
      <c r="G40" s="1">
        <v>50</v>
      </c>
      <c r="H40" s="1">
        <v>68</v>
      </c>
    </row>
    <row r="41" spans="1:8" ht="12.5" x14ac:dyDescent="0.25">
      <c r="A41" s="1" t="str">
        <f>LOWER("Female")</f>
        <v>female</v>
      </c>
      <c r="B41" s="1" t="s">
        <v>8</v>
      </c>
      <c r="C41" s="1" t="s">
        <v>20</v>
      </c>
      <c r="D41" s="1" t="str">
        <f>LOWER("Standard")</f>
        <v>standard</v>
      </c>
      <c r="E41" s="1" t="str">
        <f>LOWER("Completed")</f>
        <v>completed</v>
      </c>
      <c r="F41" s="1" t="s">
        <v>31</v>
      </c>
      <c r="G41" s="1">
        <v>64</v>
      </c>
      <c r="H41" s="1">
        <v>62</v>
      </c>
    </row>
    <row r="42" spans="1:8" ht="12.5" x14ac:dyDescent="0.25">
      <c r="A42" s="1" t="str">
        <f>LOWER("Female")</f>
        <v>female</v>
      </c>
      <c r="B42" s="1" t="s">
        <v>8</v>
      </c>
      <c r="C42" s="1" t="s">
        <v>27</v>
      </c>
      <c r="D42" s="1" t="str">
        <f>LOWER("Standard")</f>
        <v>standard</v>
      </c>
      <c r="E42" s="1" t="str">
        <f>LOWER("Completed")</f>
        <v>completed</v>
      </c>
      <c r="F42" s="1">
        <v>84</v>
      </c>
      <c r="G42" s="1">
        <v>68</v>
      </c>
      <c r="H42" s="1">
        <v>48</v>
      </c>
    </row>
    <row r="43" spans="1:8" ht="12.5" x14ac:dyDescent="0.25">
      <c r="A43" s="1" t="str">
        <f>LOWER("Female")</f>
        <v>female</v>
      </c>
      <c r="B43" s="1" t="s">
        <v>8</v>
      </c>
      <c r="C43" s="1" t="s">
        <v>9</v>
      </c>
      <c r="D43" s="1" t="str">
        <f>LOWER("Standard")</f>
        <v>standard</v>
      </c>
      <c r="E43" s="1" t="str">
        <f>LOWER("Completed")</f>
        <v>completed</v>
      </c>
      <c r="F43" s="1">
        <v>52</v>
      </c>
      <c r="G43" s="1">
        <v>61</v>
      </c>
      <c r="H43" s="1">
        <v>82</v>
      </c>
    </row>
    <row r="44" spans="1:8" ht="12.5" x14ac:dyDescent="0.25">
      <c r="A44" s="1" t="str">
        <f>LOWER("Female")</f>
        <v>female</v>
      </c>
      <c r="B44" s="1" t="s">
        <v>14</v>
      </c>
      <c r="C44" s="1" t="s">
        <v>15</v>
      </c>
      <c r="D44" s="1" t="str">
        <f>LOWER("Standard")</f>
        <v>standard</v>
      </c>
      <c r="E44" s="1" t="str">
        <f>LOWER("Completed")</f>
        <v>completed</v>
      </c>
      <c r="F44" s="1">
        <v>60</v>
      </c>
      <c r="G44" s="1">
        <v>50</v>
      </c>
      <c r="H44" s="1">
        <v>92</v>
      </c>
    </row>
    <row r="45" spans="1:8" ht="12.5" x14ac:dyDescent="0.25">
      <c r="A45" s="1" t="str">
        <f>LOWER("Female")</f>
        <v>female</v>
      </c>
      <c r="B45" s="1" t="s">
        <v>16</v>
      </c>
      <c r="C45" s="1" t="s">
        <v>15</v>
      </c>
      <c r="D45" s="1" t="str">
        <f>LOWER("Standard")</f>
        <v>standard</v>
      </c>
      <c r="E45" s="1" t="str">
        <f>LOWER("Completed")</f>
        <v>completed</v>
      </c>
      <c r="F45" s="1">
        <v>75</v>
      </c>
      <c r="G45" s="1">
        <v>83</v>
      </c>
      <c r="H45" s="1">
        <v>81</v>
      </c>
    </row>
    <row r="46" spans="1:8" ht="12.5" x14ac:dyDescent="0.25">
      <c r="A46" s="1" t="str">
        <f>LOWER("Female")</f>
        <v>female</v>
      </c>
      <c r="B46" s="1" t="s">
        <v>8</v>
      </c>
      <c r="C46" s="1" t="s">
        <v>15</v>
      </c>
      <c r="D46" s="1" t="str">
        <f>LOWER("Standard")</f>
        <v>standard</v>
      </c>
      <c r="E46" s="1" t="str">
        <f>LOWER("Completed")</f>
        <v>completed</v>
      </c>
      <c r="F46" s="1">
        <v>60</v>
      </c>
      <c r="G46" s="1">
        <v>48</v>
      </c>
      <c r="H46" s="1">
        <v>59</v>
      </c>
    </row>
    <row r="47" spans="1:8" ht="12.5" x14ac:dyDescent="0.25">
      <c r="A47" s="1" t="str">
        <f>LOWER("Male")</f>
        <v>male</v>
      </c>
      <c r="B47" s="1" t="s">
        <v>14</v>
      </c>
      <c r="C47" s="1" t="s">
        <v>13</v>
      </c>
      <c r="D47" s="1" t="s">
        <v>10</v>
      </c>
      <c r="E47" s="1" t="str">
        <f>LOWER("Completed")</f>
        <v>completed</v>
      </c>
      <c r="F47" s="1">
        <v>76</v>
      </c>
      <c r="G47" s="1">
        <v>63</v>
      </c>
      <c r="H47" s="1">
        <v>78</v>
      </c>
    </row>
    <row r="48" spans="1:8" ht="12.5" x14ac:dyDescent="0.25">
      <c r="A48" s="1" t="str">
        <f>LOWER("Male")</f>
        <v>male</v>
      </c>
      <c r="B48" s="1" t="s">
        <v>12</v>
      </c>
      <c r="C48" s="1" t="str">
        <f>LOWER(C41)</f>
        <v>high school</v>
      </c>
      <c r="D48" s="1" t="s">
        <v>10</v>
      </c>
      <c r="E48" s="1" t="str">
        <f>LOWER("Completed")</f>
        <v>completed</v>
      </c>
      <c r="F48" s="1">
        <v>50</v>
      </c>
      <c r="G48" s="1">
        <v>66</v>
      </c>
      <c r="H48" s="1">
        <v>74</v>
      </c>
    </row>
    <row r="49" spans="1:8" ht="12.5" x14ac:dyDescent="0.25">
      <c r="A49" s="1" t="str">
        <f>LOWER("Male")</f>
        <v>male</v>
      </c>
      <c r="B49" s="1" t="s">
        <v>12</v>
      </c>
      <c r="C49" s="1" t="str">
        <f>LOWER(C42)</f>
        <v>high school</v>
      </c>
      <c r="D49" s="1" t="s">
        <v>10</v>
      </c>
      <c r="E49" s="1" t="str">
        <f>LOWER("Completed")</f>
        <v>completed</v>
      </c>
      <c r="F49" s="1">
        <v>75</v>
      </c>
      <c r="G49" s="1">
        <v>83</v>
      </c>
      <c r="H49" s="1">
        <v>82</v>
      </c>
    </row>
    <row r="50" spans="1:8" ht="12.5" x14ac:dyDescent="0.25">
      <c r="A50" s="1" t="str">
        <f>LOWER("Male")</f>
        <v>male</v>
      </c>
      <c r="B50" s="1" t="s">
        <v>8</v>
      </c>
      <c r="C50" s="1" t="str">
        <f>LOWER("Bachelor's Degree")</f>
        <v>bachelor's degree</v>
      </c>
      <c r="D50" s="1" t="s">
        <v>10</v>
      </c>
      <c r="E50" s="1" t="str">
        <f>LOWER("Completed")</f>
        <v>completed</v>
      </c>
      <c r="F50" s="1">
        <v>61</v>
      </c>
      <c r="G50" s="1">
        <v>64</v>
      </c>
      <c r="H50" s="1">
        <v>83</v>
      </c>
    </row>
    <row r="51" spans="1:8" ht="12.5" x14ac:dyDescent="0.25">
      <c r="A51" s="1" t="str">
        <f>LOWER("Male")</f>
        <v>male</v>
      </c>
      <c r="B51" s="1" t="s">
        <v>14</v>
      </c>
      <c r="C51" s="1" t="s">
        <v>20</v>
      </c>
      <c r="D51" s="1" t="s">
        <v>10</v>
      </c>
      <c r="E51" s="1" t="str">
        <f>LOWER("Completed")</f>
        <v>completed</v>
      </c>
      <c r="F51" s="1">
        <v>52</v>
      </c>
      <c r="G51" s="1">
        <v>77</v>
      </c>
      <c r="H51" s="1">
        <v>54</v>
      </c>
    </row>
    <row r="52" spans="1:8" ht="12.5" x14ac:dyDescent="0.25">
      <c r="A52" s="1" t="str">
        <f>LOWER("Male")</f>
        <v>male</v>
      </c>
      <c r="B52" s="1" t="s">
        <v>23</v>
      </c>
      <c r="C52" s="1" t="s">
        <v>20</v>
      </c>
      <c r="D52" s="1" t="s">
        <v>10</v>
      </c>
      <c r="E52" s="1" t="str">
        <f>LOWER("Completed")</f>
        <v>completed</v>
      </c>
      <c r="F52" s="1">
        <v>75</v>
      </c>
      <c r="G52" s="1">
        <v>67</v>
      </c>
      <c r="H52" s="1">
        <v>67</v>
      </c>
    </row>
    <row r="53" spans="1:8" ht="12.5" x14ac:dyDescent="0.25">
      <c r="A53" s="1" t="str">
        <f>LOWER("Male")</f>
        <v>male</v>
      </c>
      <c r="B53" s="1" t="s">
        <v>16</v>
      </c>
      <c r="C53" s="1" t="s">
        <v>27</v>
      </c>
      <c r="D53" s="1" t="s">
        <v>10</v>
      </c>
      <c r="E53" s="1" t="str">
        <f>LOWER("Completed")</f>
        <v>completed</v>
      </c>
      <c r="F53" s="1">
        <v>50</v>
      </c>
      <c r="G53" s="1">
        <v>60</v>
      </c>
      <c r="H53" s="1" t="s">
        <v>28</v>
      </c>
    </row>
    <row r="54" spans="1:8" ht="12.5" x14ac:dyDescent="0.25">
      <c r="A54" s="1" t="str">
        <f>LOWER("Male")</f>
        <v>male</v>
      </c>
      <c r="B54" s="1" t="s">
        <v>8</v>
      </c>
      <c r="C54" s="1" t="s">
        <v>27</v>
      </c>
      <c r="D54" s="1" t="s">
        <v>10</v>
      </c>
      <c r="E54" s="1" t="str">
        <f>LOWER("Completed")</f>
        <v>completed</v>
      </c>
      <c r="F54" s="1">
        <v>69</v>
      </c>
      <c r="G54" s="2">
        <v>0.72</v>
      </c>
      <c r="H54" s="1">
        <v>55</v>
      </c>
    </row>
    <row r="55" spans="1:8" ht="12.5" x14ac:dyDescent="0.25">
      <c r="A55" s="1" t="str">
        <f>LOWER("Male")</f>
        <v>male</v>
      </c>
      <c r="B55" s="1" t="s">
        <v>14</v>
      </c>
      <c r="C55" s="1" t="s">
        <v>15</v>
      </c>
      <c r="D55" s="1" t="s">
        <v>10</v>
      </c>
      <c r="E55" s="1" t="str">
        <f>LOWER("Completed")</f>
        <v>completed</v>
      </c>
      <c r="F55" s="1">
        <v>72</v>
      </c>
      <c r="G55" s="1">
        <v>94</v>
      </c>
      <c r="H55" s="2">
        <v>0.68</v>
      </c>
    </row>
    <row r="56" spans="1:8" ht="12.5" x14ac:dyDescent="0.25">
      <c r="A56" s="1" t="str">
        <f>LOWER("Male")</f>
        <v>male</v>
      </c>
      <c r="B56" s="1" t="s">
        <v>14</v>
      </c>
      <c r="C56" s="1" t="s">
        <v>15</v>
      </c>
      <c r="D56" s="1" t="s">
        <v>10</v>
      </c>
      <c r="E56" s="1" t="str">
        <f>LOWER("Completed")</f>
        <v>completed</v>
      </c>
      <c r="F56" s="1">
        <v>70</v>
      </c>
      <c r="G56" s="1">
        <v>59</v>
      </c>
      <c r="H56" s="1">
        <v>62</v>
      </c>
    </row>
    <row r="57" spans="1:8" ht="12.5" x14ac:dyDescent="0.25">
      <c r="A57" s="1" t="str">
        <f>LOWER("Male")</f>
        <v>male</v>
      </c>
      <c r="B57" s="1" t="s">
        <v>16</v>
      </c>
      <c r="C57" s="1" t="s">
        <v>13</v>
      </c>
      <c r="D57" s="1" t="str">
        <f>LOWER("Standard")</f>
        <v>standard</v>
      </c>
      <c r="E57" s="1" t="str">
        <f>LOWER("Completed")</f>
        <v>completed</v>
      </c>
      <c r="F57" s="1">
        <v>77</v>
      </c>
      <c r="G57" s="1">
        <v>45</v>
      </c>
      <c r="H57" s="1" t="s">
        <v>18</v>
      </c>
    </row>
    <row r="58" spans="1:8" ht="12.5" x14ac:dyDescent="0.25">
      <c r="A58" s="1" t="str">
        <f>LOWER("Male")</f>
        <v>male</v>
      </c>
      <c r="B58" s="1" t="s">
        <v>14</v>
      </c>
      <c r="C58" s="1" t="str">
        <f>LOWER(C51)</f>
        <v>high school</v>
      </c>
      <c r="D58" s="1" t="str">
        <f>LOWER("Standard")</f>
        <v>standard</v>
      </c>
      <c r="E58" s="1" t="str">
        <f>LOWER("Completed")</f>
        <v>completed</v>
      </c>
      <c r="F58" s="1">
        <v>62</v>
      </c>
      <c r="G58" s="1">
        <v>63</v>
      </c>
    </row>
    <row r="59" spans="1:8" ht="12.5" x14ac:dyDescent="0.25">
      <c r="A59" s="1" t="str">
        <f>LOWER("Male")</f>
        <v>male</v>
      </c>
      <c r="B59" s="1" t="s">
        <v>14</v>
      </c>
      <c r="C59" s="1" t="str">
        <f>LOWER(C52)</f>
        <v>high school</v>
      </c>
      <c r="D59" s="1" t="str">
        <f>LOWER("Standard")</f>
        <v>standard</v>
      </c>
      <c r="E59" s="1" t="str">
        <f>LOWER("Completed")</f>
        <v>completed</v>
      </c>
      <c r="F59" s="1">
        <v>69</v>
      </c>
      <c r="G59" s="1">
        <v>60</v>
      </c>
      <c r="H59" s="1" t="s">
        <v>18</v>
      </c>
    </row>
    <row r="60" spans="1:8" ht="12.5" x14ac:dyDescent="0.25">
      <c r="A60" s="1" t="str">
        <f>LOWER("Male")</f>
        <v>male</v>
      </c>
      <c r="B60" s="1" t="s">
        <v>14</v>
      </c>
      <c r="C60" s="1" t="str">
        <f>LOWER(C53)</f>
        <v>high school</v>
      </c>
      <c r="D60" s="1" t="str">
        <f>LOWER("Standard")</f>
        <v>standard</v>
      </c>
      <c r="E60" s="1" t="str">
        <f>LOWER("Completed")</f>
        <v>completed</v>
      </c>
      <c r="F60" s="1">
        <v>54</v>
      </c>
      <c r="H60" s="1">
        <v>69</v>
      </c>
    </row>
    <row r="61" spans="1:8" ht="12.5" x14ac:dyDescent="0.25">
      <c r="A61" s="1" t="str">
        <f>LOWER("Male")</f>
        <v>male</v>
      </c>
      <c r="B61" s="1" t="s">
        <v>23</v>
      </c>
      <c r="C61" s="1" t="str">
        <f>LOWER(C54)</f>
        <v>high school</v>
      </c>
      <c r="D61" s="1" t="str">
        <f>LOWER("Standard")</f>
        <v>standard</v>
      </c>
      <c r="E61" s="1" t="str">
        <f>LOWER("Completed")</f>
        <v>completed</v>
      </c>
      <c r="F61" s="1">
        <v>100</v>
      </c>
      <c r="G61" s="1">
        <v>82</v>
      </c>
      <c r="H61" s="1">
        <v>41</v>
      </c>
    </row>
    <row r="62" spans="1:8" ht="12.5" x14ac:dyDescent="0.25">
      <c r="A62" s="1" t="str">
        <f>LOWER("Male")</f>
        <v>male</v>
      </c>
      <c r="B62" s="1" t="s">
        <v>23</v>
      </c>
      <c r="C62" s="1" t="str">
        <f>LOWER(C55)</f>
        <v>some high school</v>
      </c>
      <c r="D62" s="1" t="str">
        <f>LOWER("Standard")</f>
        <v>standard</v>
      </c>
      <c r="E62" s="1" t="str">
        <f>LOWER("Completed")</f>
        <v>completed</v>
      </c>
      <c r="F62" s="1">
        <v>39</v>
      </c>
      <c r="G62" s="2">
        <v>0.61</v>
      </c>
      <c r="H62" s="1">
        <v>68</v>
      </c>
    </row>
    <row r="63" spans="1:8" ht="12.5" x14ac:dyDescent="0.25">
      <c r="A63" s="1" t="str">
        <f>LOWER("Male")</f>
        <v>male</v>
      </c>
      <c r="B63" s="1" t="s">
        <v>16</v>
      </c>
      <c r="C63" s="1" t="str">
        <f>LOWER(C56)</f>
        <v>some high school</v>
      </c>
      <c r="D63" s="1" t="str">
        <f>LOWER("Standard")</f>
        <v>standard</v>
      </c>
      <c r="E63" s="1" t="str">
        <f>LOWER("Completed")</f>
        <v>completed</v>
      </c>
      <c r="G63" s="1">
        <v>68</v>
      </c>
      <c r="H63" s="1">
        <v>100</v>
      </c>
    </row>
    <row r="64" spans="1:8" ht="12.5" x14ac:dyDescent="0.25">
      <c r="A64" s="1" t="str">
        <f>LOWER("Male")</f>
        <v>male</v>
      </c>
      <c r="B64" s="1" t="s">
        <v>8</v>
      </c>
      <c r="C64" s="1" t="str">
        <f>LOWER(C57)</f>
        <v>associate's degree</v>
      </c>
      <c r="D64" s="1" t="str">
        <f>LOWER("Standard")</f>
        <v>standard</v>
      </c>
      <c r="E64" s="1" t="str">
        <f>LOWER("Completed")</f>
        <v>completed</v>
      </c>
      <c r="F64" s="1">
        <v>41</v>
      </c>
      <c r="G64" s="1">
        <v>75</v>
      </c>
      <c r="H64" s="1">
        <v>70</v>
      </c>
    </row>
    <row r="65" spans="1:8" ht="12.5" x14ac:dyDescent="0.25">
      <c r="A65" s="1" t="str">
        <f>LOWER("Male")</f>
        <v>male</v>
      </c>
      <c r="B65" s="1" t="s">
        <v>16</v>
      </c>
      <c r="C65" s="1" t="s">
        <v>20</v>
      </c>
      <c r="D65" s="1" t="str">
        <f>LOWER("Standard")</f>
        <v>standard</v>
      </c>
      <c r="E65" s="1" t="str">
        <f>LOWER("Completed")</f>
        <v>completed</v>
      </c>
      <c r="F65" s="1" t="s">
        <v>22</v>
      </c>
      <c r="G65" s="1">
        <v>76</v>
      </c>
      <c r="H65" s="1">
        <v>100</v>
      </c>
    </row>
    <row r="66" spans="1:8" ht="12.5" x14ac:dyDescent="0.25">
      <c r="A66" s="1" t="str">
        <f>LOWER("Male")</f>
        <v>male</v>
      </c>
      <c r="B66" s="1" t="s">
        <v>16</v>
      </c>
      <c r="C66" s="1" t="s">
        <v>27</v>
      </c>
      <c r="D66" s="1" t="str">
        <f>LOWER("Standard")</f>
        <v>standard</v>
      </c>
      <c r="E66" s="1" t="str">
        <f>LOWER("Completed")</f>
        <v>completed</v>
      </c>
      <c r="F66" s="1">
        <v>87</v>
      </c>
      <c r="G66" s="1">
        <v>59</v>
      </c>
      <c r="H66" s="1">
        <v>74</v>
      </c>
    </row>
    <row r="67" spans="1:8" ht="12.5" x14ac:dyDescent="0.25">
      <c r="A67" s="1" t="str">
        <f>LOWER("Male")</f>
        <v>male</v>
      </c>
      <c r="B67" s="1" t="s">
        <v>8</v>
      </c>
      <c r="C67" s="1" t="s">
        <v>20</v>
      </c>
      <c r="D67" s="1" t="str">
        <f>LOWER("Standard")</f>
        <v>standard</v>
      </c>
      <c r="E67" s="1" t="str">
        <f>LOWER("Completed")</f>
        <v>completed</v>
      </c>
      <c r="F67" s="1">
        <v>69</v>
      </c>
      <c r="G67" s="1" t="s">
        <v>29</v>
      </c>
      <c r="H67" s="1">
        <v>46</v>
      </c>
    </row>
    <row r="68" spans="1:8" ht="12.5" x14ac:dyDescent="0.25">
      <c r="A68" s="1" t="str">
        <f>LOWER("Male")</f>
        <v>male</v>
      </c>
      <c r="B68" s="1" t="s">
        <v>14</v>
      </c>
      <c r="C68" s="1" t="s">
        <v>17</v>
      </c>
      <c r="D68" s="1" t="str">
        <f>LOWER("Standard")</f>
        <v>standard</v>
      </c>
      <c r="E68" s="1" t="str">
        <f>LOWER("Completed")</f>
        <v>completed</v>
      </c>
      <c r="F68" s="1">
        <v>69</v>
      </c>
      <c r="G68" s="2">
        <v>0.41</v>
      </c>
      <c r="H68" s="1">
        <v>38</v>
      </c>
    </row>
    <row r="69" spans="1:8" ht="12.5" x14ac:dyDescent="0.25">
      <c r="A69" s="1" t="str">
        <f>LOWER("Male")</f>
        <v>male</v>
      </c>
      <c r="B69" s="1" t="s">
        <v>12</v>
      </c>
      <c r="C69" s="1" t="s">
        <v>9</v>
      </c>
      <c r="D69" s="1" t="str">
        <f>LOWER("Standard")</f>
        <v>standard</v>
      </c>
      <c r="E69" s="1" t="str">
        <f>LOWER("Completed")</f>
        <v>completed</v>
      </c>
      <c r="F69" s="1">
        <v>46</v>
      </c>
      <c r="G69" s="1">
        <v>51</v>
      </c>
      <c r="H69" s="1">
        <v>84</v>
      </c>
    </row>
    <row r="70" spans="1:8" ht="12.5" x14ac:dyDescent="0.25">
      <c r="A70" s="1" t="str">
        <f>LOWER("Male")</f>
        <v>male</v>
      </c>
      <c r="B70" s="1" t="s">
        <v>12</v>
      </c>
      <c r="C70" s="1" t="s">
        <v>9</v>
      </c>
      <c r="D70" s="1" t="str">
        <f>LOWER("Standard")</f>
        <v>standard</v>
      </c>
      <c r="E70" s="1" t="str">
        <f>LOWER("Completed")</f>
        <v>completed</v>
      </c>
      <c r="F70" s="1" t="s">
        <v>33</v>
      </c>
      <c r="G70" s="1">
        <v>47</v>
      </c>
      <c r="H70" s="1">
        <v>84</v>
      </c>
    </row>
    <row r="71" spans="1:8" ht="12.5" x14ac:dyDescent="0.25">
      <c r="A71" s="1" t="str">
        <f>LOWER("Male")</f>
        <v>male</v>
      </c>
      <c r="B71" s="1" t="s">
        <v>16</v>
      </c>
      <c r="C71" s="1" t="s">
        <v>9</v>
      </c>
      <c r="D71" s="1" t="str">
        <f>LOWER("Standard")</f>
        <v>standard</v>
      </c>
      <c r="E71" s="1" t="str">
        <f>LOWER("Completed")</f>
        <v>completed</v>
      </c>
      <c r="F71" s="1">
        <v>76</v>
      </c>
      <c r="G71" s="1">
        <v>54</v>
      </c>
    </row>
    <row r="72" spans="1:8" ht="12.5" x14ac:dyDescent="0.25">
      <c r="A72" s="1" t="str">
        <f>LOWER("Male")</f>
        <v>male</v>
      </c>
      <c r="B72" s="1" t="s">
        <v>23</v>
      </c>
      <c r="C72" s="1" t="s">
        <v>15</v>
      </c>
      <c r="D72" s="1" t="str">
        <f>LOWER("Standard")</f>
        <v>standard</v>
      </c>
      <c r="E72" s="1" t="str">
        <f>LOWER("Completed")</f>
        <v>completed</v>
      </c>
      <c r="F72" s="1">
        <v>68</v>
      </c>
      <c r="G72" s="1">
        <v>59</v>
      </c>
      <c r="H72" s="1">
        <v>67</v>
      </c>
    </row>
    <row r="73" spans="1:8" ht="12.5" x14ac:dyDescent="0.25">
      <c r="A73" s="1" t="str">
        <f>LOWER("Male")</f>
        <v>male</v>
      </c>
      <c r="B73" s="1" t="s">
        <v>23</v>
      </c>
      <c r="C73" s="1" t="s">
        <v>15</v>
      </c>
      <c r="D73" s="1" t="str">
        <f>LOWER("Standard")</f>
        <v>standard</v>
      </c>
      <c r="E73" s="1" t="str">
        <f>LOWER("Completed")</f>
        <v>completed</v>
      </c>
      <c r="F73" s="1">
        <v>63</v>
      </c>
      <c r="G73" s="1">
        <v>22</v>
      </c>
      <c r="H73" s="1">
        <v>49</v>
      </c>
    </row>
    <row r="74" spans="1:8" ht="12.5" x14ac:dyDescent="0.25">
      <c r="A74" s="1" t="str">
        <f>LOWER("Male")</f>
        <v>male</v>
      </c>
      <c r="B74" s="1" t="s">
        <v>23</v>
      </c>
      <c r="C74" s="1" t="s">
        <v>15</v>
      </c>
      <c r="D74" s="1" t="str">
        <f>LOWER("Standard")</f>
        <v>standard</v>
      </c>
      <c r="E74" s="1" t="str">
        <f>LOWER("Completed")</f>
        <v>completed</v>
      </c>
      <c r="F74" s="1">
        <v>91</v>
      </c>
      <c r="G74" s="1">
        <v>80</v>
      </c>
      <c r="H74" s="1">
        <v>63</v>
      </c>
    </row>
    <row r="75" spans="1:8" ht="12.5" x14ac:dyDescent="0.25">
      <c r="A75" s="1" t="str">
        <f>LOWER("Male")</f>
        <v>male</v>
      </c>
      <c r="B75" s="1" t="s">
        <v>23</v>
      </c>
      <c r="C75" s="1" t="s">
        <v>15</v>
      </c>
      <c r="D75" s="1" t="str">
        <f>LOWER("Standard")</f>
        <v>standard</v>
      </c>
      <c r="E75" s="1" t="str">
        <f>LOWER("Completed")</f>
        <v>completed</v>
      </c>
      <c r="F75" s="1">
        <v>91</v>
      </c>
      <c r="G75" s="1">
        <v>80</v>
      </c>
      <c r="H75" s="1">
        <v>63</v>
      </c>
    </row>
    <row r="76" spans="1:8" ht="12.5" x14ac:dyDescent="0.25">
      <c r="A76" s="1" t="str">
        <f>LOWER("Male")</f>
        <v>male</v>
      </c>
      <c r="B76" s="1" t="s">
        <v>16</v>
      </c>
      <c r="C76" s="1" t="s">
        <v>15</v>
      </c>
      <c r="D76" s="1" t="str">
        <f>LOWER("Standard")</f>
        <v>standard</v>
      </c>
      <c r="E76" s="1" t="str">
        <f>LOWER("Completed")</f>
        <v>completed</v>
      </c>
      <c r="F76" s="1">
        <v>79</v>
      </c>
      <c r="G76" s="1">
        <v>69</v>
      </c>
      <c r="H76" s="1">
        <v>61</v>
      </c>
    </row>
    <row r="77" spans="1:8" ht="12.5" x14ac:dyDescent="0.25">
      <c r="A77" s="1" t="str">
        <f>LOWER("Male")</f>
        <v>male</v>
      </c>
      <c r="B77" s="1" t="s">
        <v>16</v>
      </c>
      <c r="C77" s="1" t="s">
        <v>15</v>
      </c>
      <c r="D77" s="1" t="str">
        <f>LOWER("Standard")</f>
        <v>standard</v>
      </c>
      <c r="E77" s="1" t="str">
        <f>LOWER("Completed")</f>
        <v>completed</v>
      </c>
      <c r="F77" s="1">
        <v>58</v>
      </c>
      <c r="G77" s="1">
        <v>58</v>
      </c>
      <c r="H77" s="1">
        <v>75</v>
      </c>
    </row>
    <row r="78" spans="1:8" ht="12.5" x14ac:dyDescent="0.25">
      <c r="A78" s="1" t="str">
        <f>LOWER("Male")</f>
        <v>male</v>
      </c>
      <c r="B78" s="1" t="s">
        <v>8</v>
      </c>
      <c r="C78" s="1" t="s">
        <v>15</v>
      </c>
      <c r="D78" s="1" t="str">
        <f>LOWER("Standard")</f>
        <v>standard</v>
      </c>
      <c r="E78" s="1" t="str">
        <f>LOWER("Completed")</f>
        <v>completed</v>
      </c>
      <c r="F78" s="1">
        <v>47</v>
      </c>
      <c r="G78" s="1">
        <v>60</v>
      </c>
      <c r="H78" s="2">
        <v>0.67</v>
      </c>
    </row>
    <row r="79" spans="1:8" ht="12.5" x14ac:dyDescent="0.25">
      <c r="A79" s="1" t="str">
        <f>LOWER("Female")</f>
        <v>female</v>
      </c>
      <c r="B79" s="1" t="s">
        <v>14</v>
      </c>
      <c r="C79" s="1" t="s">
        <v>19</v>
      </c>
      <c r="D79" s="1" t="s">
        <v>10</v>
      </c>
      <c r="E79" s="1" t="s">
        <v>11</v>
      </c>
      <c r="F79" s="1">
        <v>73</v>
      </c>
      <c r="G79" s="1" t="s">
        <v>25</v>
      </c>
      <c r="H79" s="1">
        <v>76</v>
      </c>
    </row>
    <row r="80" spans="1:8" ht="12.5" x14ac:dyDescent="0.25">
      <c r="A80" s="1" t="str">
        <f>LOWER("Female")</f>
        <v>female</v>
      </c>
      <c r="B80" s="1" t="s">
        <v>12</v>
      </c>
      <c r="C80" s="1" t="str">
        <f>LOWER("Bachelor's Degree")</f>
        <v>bachelor's degree</v>
      </c>
      <c r="D80" s="1" t="s">
        <v>10</v>
      </c>
      <c r="E80" s="1" t="s">
        <v>11</v>
      </c>
      <c r="F80" s="1" t="s">
        <v>26</v>
      </c>
      <c r="G80" s="1">
        <v>89</v>
      </c>
      <c r="H80" s="1">
        <v>24</v>
      </c>
    </row>
    <row r="81" spans="1:8" ht="12.5" x14ac:dyDescent="0.25">
      <c r="A81" s="1" t="str">
        <f>LOWER("Female")</f>
        <v>female</v>
      </c>
      <c r="B81" s="1" t="s">
        <v>12</v>
      </c>
      <c r="C81" s="1" t="str">
        <f>LOWER("Bachelor's Degree")</f>
        <v>bachelor's degree</v>
      </c>
      <c r="D81" s="1" t="s">
        <v>10</v>
      </c>
      <c r="E81" s="1" t="s">
        <v>11</v>
      </c>
      <c r="F81" s="1">
        <v>60</v>
      </c>
      <c r="G81" s="2">
        <v>0.56999999999999995</v>
      </c>
      <c r="H81" s="1">
        <v>51</v>
      </c>
    </row>
    <row r="82" spans="1:8" ht="12.5" x14ac:dyDescent="0.25">
      <c r="A82" s="1" t="str">
        <f>LOWER("Female")</f>
        <v>female</v>
      </c>
      <c r="B82" s="1" t="s">
        <v>8</v>
      </c>
      <c r="C82" s="1" t="str">
        <f>LOWER(C75)</f>
        <v>some high school</v>
      </c>
      <c r="D82" s="1" t="s">
        <v>10</v>
      </c>
      <c r="E82" s="1" t="s">
        <v>11</v>
      </c>
      <c r="F82" s="1">
        <v>75</v>
      </c>
      <c r="G82" s="1">
        <v>56</v>
      </c>
      <c r="H82" s="1">
        <v>99</v>
      </c>
    </row>
    <row r="83" spans="1:8" ht="12.5" x14ac:dyDescent="0.25">
      <c r="A83" s="1" t="str">
        <f>LOWER("Female")</f>
        <v>female</v>
      </c>
      <c r="B83" s="1" t="s">
        <v>12</v>
      </c>
      <c r="C83" s="1" t="s">
        <v>20</v>
      </c>
      <c r="D83" s="1" t="s">
        <v>10</v>
      </c>
      <c r="E83" s="1" t="s">
        <v>11</v>
      </c>
      <c r="F83" s="1">
        <v>50</v>
      </c>
      <c r="G83" s="1">
        <v>60</v>
      </c>
      <c r="H83" s="2">
        <v>0.8</v>
      </c>
    </row>
    <row r="84" spans="1:8" ht="12.5" x14ac:dyDescent="0.25">
      <c r="A84" s="1" t="str">
        <f>LOWER("Female")</f>
        <v>female</v>
      </c>
      <c r="B84" s="1" t="s">
        <v>16</v>
      </c>
      <c r="C84" s="1" t="s">
        <v>20</v>
      </c>
      <c r="D84" s="1" t="s">
        <v>10</v>
      </c>
      <c r="E84" s="1" t="s">
        <v>11</v>
      </c>
      <c r="F84" s="1">
        <v>50</v>
      </c>
      <c r="G84" s="1">
        <v>63</v>
      </c>
      <c r="H84" s="1">
        <v>72</v>
      </c>
    </row>
    <row r="85" spans="1:8" ht="12.5" x14ac:dyDescent="0.25">
      <c r="A85" s="1" t="str">
        <f>LOWER("Female")</f>
        <v>female</v>
      </c>
      <c r="B85" s="1" t="s">
        <v>8</v>
      </c>
      <c r="C85" s="1" t="s">
        <v>20</v>
      </c>
      <c r="D85" s="1" t="s">
        <v>10</v>
      </c>
      <c r="E85" s="1" t="s">
        <v>11</v>
      </c>
      <c r="F85" s="1">
        <v>93</v>
      </c>
      <c r="G85" s="1">
        <v>78</v>
      </c>
    </row>
    <row r="86" spans="1:8" ht="12.5" x14ac:dyDescent="0.25">
      <c r="A86" s="1" t="str">
        <f>LOWER("Female")</f>
        <v>female</v>
      </c>
      <c r="B86" s="1" t="s">
        <v>16</v>
      </c>
      <c r="C86" s="1" t="s">
        <v>9</v>
      </c>
      <c r="D86" s="1" t="s">
        <v>10</v>
      </c>
      <c r="E86" s="1" t="s">
        <v>11</v>
      </c>
      <c r="F86" s="1">
        <v>59</v>
      </c>
      <c r="G86" s="1">
        <v>72</v>
      </c>
      <c r="H86" s="1">
        <v>52</v>
      </c>
    </row>
    <row r="87" spans="1:8" ht="12.5" x14ac:dyDescent="0.25">
      <c r="A87" s="1" t="str">
        <f>LOWER("Female")</f>
        <v>female</v>
      </c>
      <c r="B87" s="1" t="s">
        <v>8</v>
      </c>
      <c r="C87" s="1" t="s">
        <v>9</v>
      </c>
      <c r="D87" s="1" t="s">
        <v>10</v>
      </c>
      <c r="E87" s="1" t="s">
        <v>11</v>
      </c>
      <c r="F87" s="1">
        <v>56</v>
      </c>
      <c r="G87" s="1">
        <v>85</v>
      </c>
      <c r="H87" s="1">
        <v>54</v>
      </c>
    </row>
    <row r="88" spans="1:8" ht="12.5" x14ac:dyDescent="0.25">
      <c r="A88" s="1" t="str">
        <f>LOWER("Female")</f>
        <v>female</v>
      </c>
      <c r="B88" s="1" t="s">
        <v>14</v>
      </c>
      <c r="C88" s="1" t="s">
        <v>13</v>
      </c>
      <c r="D88" s="1" t="str">
        <f>LOWER("Standard")</f>
        <v>standard</v>
      </c>
      <c r="E88" s="1" t="s">
        <v>11</v>
      </c>
      <c r="F88" s="1">
        <v>72</v>
      </c>
      <c r="G88" s="1">
        <v>78</v>
      </c>
      <c r="H88" s="1">
        <v>51</v>
      </c>
    </row>
    <row r="89" spans="1:8" ht="12.5" x14ac:dyDescent="0.25">
      <c r="A89" s="1" t="str">
        <f>LOWER("Female")</f>
        <v>female</v>
      </c>
      <c r="B89" s="1" t="s">
        <v>12</v>
      </c>
      <c r="C89" s="1" t="s">
        <v>13</v>
      </c>
      <c r="D89" s="1" t="str">
        <f>LOWER("Standard")</f>
        <v>standard</v>
      </c>
      <c r="E89" s="1" t="s">
        <v>11</v>
      </c>
      <c r="F89" s="1">
        <v>66</v>
      </c>
      <c r="G89" s="1">
        <v>81</v>
      </c>
      <c r="H89" s="1">
        <v>54</v>
      </c>
    </row>
    <row r="90" spans="1:8" ht="12.5" x14ac:dyDescent="0.25">
      <c r="A90" s="1" t="str">
        <f>LOWER("Female")</f>
        <v>female</v>
      </c>
      <c r="B90" s="1" t="s">
        <v>12</v>
      </c>
      <c r="C90" s="1" t="s">
        <v>13</v>
      </c>
      <c r="D90" s="1" t="str">
        <f>LOWER("Standard")</f>
        <v>standard</v>
      </c>
      <c r="E90" s="1" t="s">
        <v>11</v>
      </c>
      <c r="F90" s="1">
        <v>66</v>
      </c>
      <c r="G90" s="1">
        <v>40</v>
      </c>
      <c r="H90" s="1">
        <v>62</v>
      </c>
    </row>
    <row r="91" spans="1:8" ht="12.5" x14ac:dyDescent="0.25">
      <c r="A91" s="1" t="str">
        <f>LOWER("Female")</f>
        <v>female</v>
      </c>
      <c r="B91" s="1" t="s">
        <v>16</v>
      </c>
      <c r="C91" s="1" t="s">
        <v>13</v>
      </c>
      <c r="D91" s="1" t="str">
        <f>LOWER("Standard")</f>
        <v>standard</v>
      </c>
      <c r="E91" s="1" t="s">
        <v>11</v>
      </c>
      <c r="F91" s="1">
        <v>66</v>
      </c>
      <c r="G91" s="1">
        <v>51</v>
      </c>
      <c r="H91" s="1">
        <v>71</v>
      </c>
    </row>
    <row r="92" spans="1:8" ht="12.5" x14ac:dyDescent="0.25">
      <c r="A92" s="1" t="str">
        <f>LOWER("Female")</f>
        <v>female</v>
      </c>
      <c r="B92" s="1" t="s">
        <v>8</v>
      </c>
      <c r="C92" s="1" t="s">
        <v>13</v>
      </c>
      <c r="D92" s="1" t="str">
        <f>LOWER("Standard")</f>
        <v>standard</v>
      </c>
      <c r="E92" s="1" t="s">
        <v>11</v>
      </c>
      <c r="F92" s="1">
        <v>56</v>
      </c>
      <c r="G92" s="1">
        <v>65</v>
      </c>
      <c r="H92" s="1">
        <v>48</v>
      </c>
    </row>
    <row r="93" spans="1:8" ht="12.5" x14ac:dyDescent="0.25">
      <c r="A93" s="1" t="str">
        <f>LOWER("Female")</f>
        <v>female</v>
      </c>
      <c r="B93" s="1" t="s">
        <v>14</v>
      </c>
      <c r="C93" s="1" t="str">
        <f>LOWER(C106)</f>
        <v>high school</v>
      </c>
      <c r="D93" s="1" t="str">
        <f>LOWER("Standard")</f>
        <v>standard</v>
      </c>
      <c r="E93" s="1" t="s">
        <v>11</v>
      </c>
      <c r="F93" s="1">
        <v>56</v>
      </c>
      <c r="G93" s="1">
        <v>59</v>
      </c>
      <c r="H93" s="1">
        <v>79</v>
      </c>
    </row>
    <row r="94" spans="1:8" ht="12.5" x14ac:dyDescent="0.25">
      <c r="A94" s="1" t="str">
        <f>LOWER("Female")</f>
        <v>female</v>
      </c>
      <c r="B94" s="1" t="s">
        <v>12</v>
      </c>
      <c r="C94" s="1" t="s">
        <v>19</v>
      </c>
      <c r="D94" s="1" t="str">
        <f>LOWER("Standard")</f>
        <v>standard</v>
      </c>
      <c r="E94" s="1" t="s">
        <v>11</v>
      </c>
      <c r="F94" s="1">
        <v>73</v>
      </c>
      <c r="G94" s="1">
        <v>64</v>
      </c>
      <c r="H94" s="2">
        <v>0.77</v>
      </c>
    </row>
    <row r="95" spans="1:8" ht="12.5" x14ac:dyDescent="0.25">
      <c r="A95" s="1" t="str">
        <f>LOWER("Female")</f>
        <v>female</v>
      </c>
      <c r="B95" s="1" t="s">
        <v>14</v>
      </c>
      <c r="C95" s="1" t="s">
        <v>27</v>
      </c>
      <c r="D95" s="1" t="str">
        <f>LOWER("Standard")</f>
        <v>standard</v>
      </c>
      <c r="E95" s="1" t="s">
        <v>11</v>
      </c>
      <c r="F95" s="2">
        <v>0.63</v>
      </c>
      <c r="G95" s="2">
        <v>0.82</v>
      </c>
      <c r="H95" s="1">
        <v>71</v>
      </c>
    </row>
    <row r="96" spans="1:8" ht="12.5" x14ac:dyDescent="0.25">
      <c r="A96" s="1" t="str">
        <f>LOWER("Female")</f>
        <v>female</v>
      </c>
      <c r="B96" s="1" t="s">
        <v>16</v>
      </c>
      <c r="C96" s="1" t="s">
        <v>20</v>
      </c>
      <c r="D96" s="1" t="str">
        <f>LOWER("Standard")</f>
        <v>standard</v>
      </c>
      <c r="E96" s="1" t="s">
        <v>11</v>
      </c>
      <c r="F96" s="1">
        <v>68</v>
      </c>
      <c r="G96" s="1">
        <v>78</v>
      </c>
      <c r="H96" s="1">
        <v>68</v>
      </c>
    </row>
    <row r="97" spans="1:8" ht="12.5" x14ac:dyDescent="0.25">
      <c r="A97" s="1" t="str">
        <f>LOWER("Female")</f>
        <v>female</v>
      </c>
      <c r="B97" s="1" t="s">
        <v>16</v>
      </c>
      <c r="C97" s="1" t="s">
        <v>20</v>
      </c>
      <c r="D97" s="1" t="str">
        <f>LOWER("Standard")</f>
        <v>standard</v>
      </c>
      <c r="E97" s="1" t="s">
        <v>11</v>
      </c>
      <c r="F97" s="1">
        <v>50</v>
      </c>
      <c r="G97" s="1">
        <v>66</v>
      </c>
      <c r="H97" s="1">
        <v>71</v>
      </c>
    </row>
    <row r="98" spans="1:8" ht="12.5" x14ac:dyDescent="0.25">
      <c r="A98" s="1" t="str">
        <f>LOWER("Female")</f>
        <v>female</v>
      </c>
      <c r="B98" s="1" t="s">
        <v>8</v>
      </c>
      <c r="C98" s="1" t="s">
        <v>20</v>
      </c>
      <c r="D98" s="1" t="str">
        <f>LOWER("Standard")</f>
        <v>standard</v>
      </c>
      <c r="E98" s="1" t="s">
        <v>11</v>
      </c>
      <c r="F98" s="1">
        <v>45</v>
      </c>
      <c r="G98" s="1">
        <v>79</v>
      </c>
      <c r="H98" s="1">
        <v>46</v>
      </c>
    </row>
    <row r="99" spans="1:8" ht="12.5" x14ac:dyDescent="0.25">
      <c r="A99" s="1" t="str">
        <f>LOWER("Female")</f>
        <v>female</v>
      </c>
      <c r="B99" s="1" t="s">
        <v>8</v>
      </c>
      <c r="C99" s="1" t="s">
        <v>9</v>
      </c>
      <c r="D99" s="1" t="str">
        <f>LOWER("Standard")</f>
        <v>standard</v>
      </c>
      <c r="E99" s="1" t="s">
        <v>11</v>
      </c>
      <c r="F99" s="1">
        <v>55</v>
      </c>
      <c r="G99" s="1">
        <v>69</v>
      </c>
      <c r="H99" s="1">
        <v>47</v>
      </c>
    </row>
    <row r="100" spans="1:8" ht="12.5" x14ac:dyDescent="0.25">
      <c r="A100" s="1" t="str">
        <f>LOWER("Female")</f>
        <v>female</v>
      </c>
      <c r="B100" s="1" t="s">
        <v>14</v>
      </c>
      <c r="C100" s="1" t="s">
        <v>15</v>
      </c>
      <c r="D100" s="1" t="str">
        <f>LOWER("Standard")</f>
        <v>standard</v>
      </c>
      <c r="E100" s="1" t="s">
        <v>11</v>
      </c>
      <c r="F100" s="1">
        <v>68</v>
      </c>
      <c r="G100" s="1">
        <v>40</v>
      </c>
      <c r="H100" s="1">
        <v>44</v>
      </c>
    </row>
    <row r="101" spans="1:8" ht="12.5" x14ac:dyDescent="0.25">
      <c r="A101" s="1" t="str">
        <f>LOWER("Female")</f>
        <v>female</v>
      </c>
      <c r="B101" s="1" t="s">
        <v>14</v>
      </c>
      <c r="C101" s="1" t="s">
        <v>15</v>
      </c>
      <c r="D101" s="1" t="str">
        <f>LOWER("Standard")</f>
        <v>standard</v>
      </c>
      <c r="E101" s="1" t="s">
        <v>11</v>
      </c>
      <c r="F101" s="1">
        <v>65</v>
      </c>
      <c r="G101" s="1">
        <v>77</v>
      </c>
    </row>
    <row r="102" spans="1:8" ht="12.5" x14ac:dyDescent="0.25">
      <c r="A102" s="1" t="str">
        <f>LOWER("Female")</f>
        <v>female</v>
      </c>
      <c r="B102" s="1" t="s">
        <v>8</v>
      </c>
      <c r="C102" s="1" t="s">
        <v>15</v>
      </c>
      <c r="D102" s="1" t="str">
        <f>LOWER("Standard")</f>
        <v>standard</v>
      </c>
      <c r="E102" s="1" t="s">
        <v>11</v>
      </c>
      <c r="F102" s="1" t="s">
        <v>30</v>
      </c>
      <c r="G102" s="1">
        <v>51</v>
      </c>
      <c r="H102" s="1">
        <v>60</v>
      </c>
    </row>
    <row r="103" spans="1:8" ht="12.5" x14ac:dyDescent="0.25">
      <c r="A103" s="1" t="str">
        <f>LOWER("Male")</f>
        <v>male</v>
      </c>
      <c r="B103" s="1" t="s">
        <v>16</v>
      </c>
      <c r="C103" s="1" t="s">
        <v>13</v>
      </c>
      <c r="D103" s="1" t="s">
        <v>10</v>
      </c>
      <c r="E103" s="1" t="s">
        <v>11</v>
      </c>
      <c r="F103" s="1">
        <v>79</v>
      </c>
      <c r="G103" s="1">
        <v>50</v>
      </c>
      <c r="H103" s="1">
        <v>69</v>
      </c>
    </row>
    <row r="104" spans="1:8" ht="12.5" x14ac:dyDescent="0.25">
      <c r="A104" s="1" t="str">
        <f>LOWER("Male")</f>
        <v>male</v>
      </c>
      <c r="B104" s="1" t="s">
        <v>12</v>
      </c>
      <c r="C104" s="1" t="str">
        <f>LOWER(C97)</f>
        <v>high school</v>
      </c>
      <c r="D104" s="1" t="s">
        <v>10</v>
      </c>
      <c r="E104" s="1" t="s">
        <v>11</v>
      </c>
      <c r="F104" s="1">
        <v>54</v>
      </c>
      <c r="G104" s="1">
        <v>93</v>
      </c>
      <c r="H104" s="1">
        <v>0</v>
      </c>
    </row>
    <row r="105" spans="1:8" ht="12.5" x14ac:dyDescent="0.25">
      <c r="A105" s="1" t="str">
        <f>LOWER("Male")</f>
        <v>male</v>
      </c>
      <c r="B105" s="1" t="s">
        <v>23</v>
      </c>
      <c r="C105" s="1" t="str">
        <f>LOWER(C98)</f>
        <v>high school</v>
      </c>
      <c r="D105" s="1" t="s">
        <v>10</v>
      </c>
      <c r="E105" s="1" t="s">
        <v>11</v>
      </c>
      <c r="F105" s="1">
        <v>71</v>
      </c>
      <c r="G105" s="1">
        <v>55</v>
      </c>
      <c r="H105" s="1">
        <v>68</v>
      </c>
    </row>
    <row r="106" spans="1:8" ht="12.5" x14ac:dyDescent="0.25">
      <c r="A106" s="1" t="str">
        <f>LOWER("Male")</f>
        <v>male</v>
      </c>
      <c r="B106" s="1" t="s">
        <v>14</v>
      </c>
      <c r="C106" s="1" t="s">
        <v>20</v>
      </c>
      <c r="D106" s="1" t="s">
        <v>10</v>
      </c>
      <c r="E106" s="1" t="s">
        <v>11</v>
      </c>
      <c r="F106" s="1">
        <v>40</v>
      </c>
      <c r="G106" s="1">
        <v>54</v>
      </c>
      <c r="H106" s="1">
        <v>74</v>
      </c>
    </row>
    <row r="107" spans="1:8" ht="12.5" x14ac:dyDescent="0.25">
      <c r="A107" s="1" t="str">
        <f>LOWER("Male")</f>
        <v>male</v>
      </c>
      <c r="B107" s="1" t="s">
        <v>14</v>
      </c>
      <c r="C107" s="1" t="s">
        <v>27</v>
      </c>
      <c r="D107" s="1" t="s">
        <v>10</v>
      </c>
      <c r="E107" s="1" t="s">
        <v>11</v>
      </c>
      <c r="F107" s="1">
        <v>69</v>
      </c>
      <c r="G107" s="1">
        <v>79</v>
      </c>
      <c r="H107" s="1">
        <v>66</v>
      </c>
    </row>
    <row r="108" spans="1:8" ht="12.5" x14ac:dyDescent="0.25">
      <c r="A108" s="1" t="str">
        <f>LOWER("Male")</f>
        <v>male</v>
      </c>
      <c r="B108" s="1" t="s">
        <v>14</v>
      </c>
      <c r="C108" s="1" t="s">
        <v>17</v>
      </c>
      <c r="D108" s="1" t="s">
        <v>10</v>
      </c>
      <c r="E108" s="1" t="s">
        <v>11</v>
      </c>
      <c r="F108" s="1">
        <v>55</v>
      </c>
      <c r="G108" s="1">
        <v>46</v>
      </c>
      <c r="H108" s="1">
        <v>67</v>
      </c>
    </row>
    <row r="109" spans="1:8" ht="12.5" x14ac:dyDescent="0.25">
      <c r="A109" s="1" t="str">
        <f>LOWER("Male")</f>
        <v>male</v>
      </c>
      <c r="B109" s="1" t="s">
        <v>12</v>
      </c>
      <c r="C109" s="1" t="s">
        <v>17</v>
      </c>
      <c r="D109" s="1" t="s">
        <v>10</v>
      </c>
      <c r="E109" s="1" t="s">
        <v>11</v>
      </c>
      <c r="F109" s="1">
        <v>92</v>
      </c>
      <c r="G109" s="1">
        <v>57</v>
      </c>
      <c r="H109" s="1" t="s">
        <v>24</v>
      </c>
    </row>
    <row r="110" spans="1:8" ht="12.5" x14ac:dyDescent="0.25">
      <c r="A110" s="1" t="str">
        <f>LOWER("Male")</f>
        <v>male</v>
      </c>
      <c r="B110" s="1" t="s">
        <v>23</v>
      </c>
      <c r="C110" s="1" t="s">
        <v>15</v>
      </c>
      <c r="D110" s="1" t="s">
        <v>10</v>
      </c>
      <c r="E110" s="1" t="s">
        <v>11</v>
      </c>
      <c r="F110" s="1">
        <v>70</v>
      </c>
      <c r="G110" s="1">
        <v>79</v>
      </c>
      <c r="H110" s="1">
        <v>76</v>
      </c>
    </row>
    <row r="111" spans="1:8" ht="12.5" x14ac:dyDescent="0.25">
      <c r="A111" s="1" t="str">
        <f>LOWER("Male")</f>
        <v>male</v>
      </c>
      <c r="B111" s="1" t="s">
        <v>14</v>
      </c>
      <c r="C111" s="1" t="s">
        <v>13</v>
      </c>
      <c r="D111" s="1" t="str">
        <f>LOWER("Standard")</f>
        <v>standard</v>
      </c>
      <c r="E111" s="1" t="s">
        <v>11</v>
      </c>
      <c r="F111" s="1">
        <v>70</v>
      </c>
      <c r="G111" s="1">
        <v>66</v>
      </c>
      <c r="H111" s="1">
        <v>67</v>
      </c>
    </row>
    <row r="112" spans="1:8" ht="12.5" x14ac:dyDescent="0.25">
      <c r="A112" s="1" t="str">
        <f>LOWER("Male")</f>
        <v>male</v>
      </c>
      <c r="B112" s="1" t="s">
        <v>12</v>
      </c>
      <c r="C112" s="1" t="s">
        <v>13</v>
      </c>
      <c r="D112" s="1" t="str">
        <f>LOWER("Standard")</f>
        <v>standard</v>
      </c>
      <c r="E112" s="1" t="s">
        <v>11</v>
      </c>
      <c r="F112" s="1">
        <v>52</v>
      </c>
      <c r="G112" s="1">
        <v>81</v>
      </c>
      <c r="H112" s="2">
        <v>0.63</v>
      </c>
    </row>
    <row r="113" spans="1:8" ht="12.5" x14ac:dyDescent="0.25">
      <c r="A113" s="1" t="str">
        <f>LOWER("Male")</f>
        <v>male</v>
      </c>
      <c r="B113" s="1" t="s">
        <v>12</v>
      </c>
      <c r="C113" s="1" t="s">
        <v>13</v>
      </c>
      <c r="D113" s="1" t="str">
        <f>LOWER("Standard")</f>
        <v>standard</v>
      </c>
      <c r="E113" s="1" t="s">
        <v>11</v>
      </c>
      <c r="F113" s="1">
        <v>37</v>
      </c>
      <c r="G113" s="1">
        <v>61</v>
      </c>
      <c r="H113" s="1">
        <v>79</v>
      </c>
    </row>
    <row r="114" spans="1:8" ht="12.5" x14ac:dyDescent="0.25">
      <c r="A114" s="1" t="str">
        <f>LOWER("Male")</f>
        <v>male</v>
      </c>
      <c r="B114" s="1" t="s">
        <v>8</v>
      </c>
      <c r="C114" s="1" t="s">
        <v>13</v>
      </c>
      <c r="D114" s="1" t="str">
        <f>LOWER("Standard")</f>
        <v>standard</v>
      </c>
      <c r="E114" s="1" t="s">
        <v>11</v>
      </c>
      <c r="F114" s="1">
        <v>91</v>
      </c>
      <c r="G114" s="1">
        <v>64</v>
      </c>
      <c r="H114" s="1">
        <v>100</v>
      </c>
    </row>
    <row r="115" spans="1:8" ht="12.5" x14ac:dyDescent="0.25">
      <c r="A115" s="1" t="str">
        <f>LOWER("Male")</f>
        <v>male</v>
      </c>
      <c r="B115" s="1" t="s">
        <v>8</v>
      </c>
      <c r="C115" s="1" t="s">
        <v>13</v>
      </c>
      <c r="D115" s="1" t="str">
        <f>LOWER("Standard")</f>
        <v>standard</v>
      </c>
      <c r="E115" s="1" t="s">
        <v>11</v>
      </c>
      <c r="F115" s="1">
        <v>91</v>
      </c>
      <c r="G115" s="1">
        <v>64</v>
      </c>
      <c r="H115" s="1">
        <v>100</v>
      </c>
    </row>
    <row r="116" spans="1:8" ht="12.5" x14ac:dyDescent="0.25">
      <c r="A116" s="1" t="str">
        <f>LOWER("Male")</f>
        <v>male</v>
      </c>
      <c r="B116" s="1" t="s">
        <v>8</v>
      </c>
      <c r="C116" s="1" t="s">
        <v>13</v>
      </c>
      <c r="D116" s="1" t="str">
        <f>LOWER("Standard")</f>
        <v>standard</v>
      </c>
      <c r="E116" s="1" t="s">
        <v>11</v>
      </c>
      <c r="F116" s="1">
        <v>65</v>
      </c>
      <c r="G116" s="1">
        <v>54</v>
      </c>
      <c r="H116" s="1">
        <v>73</v>
      </c>
    </row>
    <row r="117" spans="1:8" ht="12.5" x14ac:dyDescent="0.25">
      <c r="A117" s="1" t="str">
        <f>LOWER("Male")</f>
        <v>male</v>
      </c>
      <c r="B117" s="1" t="s">
        <v>12</v>
      </c>
      <c r="C117" s="1" t="str">
        <f>LOWER(C110)</f>
        <v>some high school</v>
      </c>
      <c r="D117" s="1" t="str">
        <f>LOWER("Standard")</f>
        <v>standard</v>
      </c>
      <c r="E117" s="1" t="s">
        <v>11</v>
      </c>
      <c r="F117" s="1">
        <v>59</v>
      </c>
      <c r="G117" s="1">
        <v>72</v>
      </c>
      <c r="H117" s="1">
        <v>81</v>
      </c>
    </row>
    <row r="118" spans="1:8" ht="12.5" x14ac:dyDescent="0.25">
      <c r="A118" s="1" t="str">
        <f>LOWER("Male")</f>
        <v>male</v>
      </c>
      <c r="B118" s="1" t="s">
        <v>23</v>
      </c>
      <c r="C118" s="1" t="str">
        <f>LOWER(C111)</f>
        <v>associate's degree</v>
      </c>
      <c r="D118" s="1" t="str">
        <f>LOWER("Standard")</f>
        <v>standard</v>
      </c>
      <c r="E118" s="1" t="s">
        <v>11</v>
      </c>
      <c r="F118" s="1">
        <v>60</v>
      </c>
      <c r="G118" s="1">
        <v>-5</v>
      </c>
      <c r="H118" s="1">
        <v>43</v>
      </c>
    </row>
    <row r="119" spans="1:8" ht="12.5" x14ac:dyDescent="0.25">
      <c r="A119" s="1" t="str">
        <f>LOWER("Male")</f>
        <v>male</v>
      </c>
      <c r="B119" s="1" t="s">
        <v>14</v>
      </c>
      <c r="C119" s="1" t="s">
        <v>20</v>
      </c>
      <c r="D119" s="1" t="str">
        <f>LOWER("Standard")</f>
        <v>standard</v>
      </c>
      <c r="E119" s="1" t="s">
        <v>11</v>
      </c>
      <c r="F119" s="1">
        <v>70</v>
      </c>
      <c r="G119" s="1">
        <v>60</v>
      </c>
      <c r="H119" s="1">
        <v>74</v>
      </c>
    </row>
    <row r="120" spans="1:8" ht="12.5" x14ac:dyDescent="0.25">
      <c r="A120" s="1" t="str">
        <f>LOWER("Male")</f>
        <v>male</v>
      </c>
      <c r="B120" s="1" t="s">
        <v>12</v>
      </c>
      <c r="C120" s="1" t="s">
        <v>20</v>
      </c>
      <c r="D120" s="1" t="str">
        <f>LOWER("Standard")</f>
        <v>standard</v>
      </c>
      <c r="E120" s="1" t="s">
        <v>11</v>
      </c>
      <c r="F120" s="1">
        <v>64</v>
      </c>
      <c r="G120" s="2">
        <v>0.53</v>
      </c>
      <c r="H120" s="1">
        <v>65</v>
      </c>
    </row>
    <row r="121" spans="1:8" ht="12.5" x14ac:dyDescent="0.25">
      <c r="A121" s="1" t="str">
        <f>LOWER("Male")</f>
        <v>male</v>
      </c>
      <c r="B121" s="1" t="s">
        <v>12</v>
      </c>
      <c r="C121" s="1" t="s">
        <v>27</v>
      </c>
      <c r="D121" s="1" t="str">
        <f>LOWER("Standard")</f>
        <v>standard</v>
      </c>
      <c r="E121" s="1" t="s">
        <v>11</v>
      </c>
      <c r="F121" s="1">
        <v>83</v>
      </c>
      <c r="G121" s="1">
        <v>81</v>
      </c>
      <c r="H121" s="1">
        <v>52</v>
      </c>
    </row>
    <row r="122" spans="1:8" ht="12.5" x14ac:dyDescent="0.25">
      <c r="A122" s="1" t="str">
        <f>LOWER("Male")</f>
        <v>male</v>
      </c>
      <c r="B122" s="1" t="s">
        <v>16</v>
      </c>
      <c r="C122" s="1" t="s">
        <v>20</v>
      </c>
      <c r="D122" s="1" t="str">
        <f>LOWER("Standard")</f>
        <v>standard</v>
      </c>
      <c r="E122" s="1" t="s">
        <v>11</v>
      </c>
      <c r="F122" s="1">
        <v>76</v>
      </c>
      <c r="G122" s="1">
        <v>55</v>
      </c>
      <c r="H122" s="1">
        <v>48</v>
      </c>
    </row>
    <row r="123" spans="1:8" ht="12.5" x14ac:dyDescent="0.25">
      <c r="A123" s="1" t="str">
        <f>LOWER("Male")</f>
        <v>male</v>
      </c>
      <c r="B123" s="1" t="s">
        <v>8</v>
      </c>
      <c r="C123" s="1" t="s">
        <v>20</v>
      </c>
      <c r="D123" s="1" t="str">
        <f>LOWER("Standard")</f>
        <v>standard</v>
      </c>
      <c r="E123" s="1" t="s">
        <v>11</v>
      </c>
      <c r="F123" s="1">
        <v>69</v>
      </c>
      <c r="G123" s="2">
        <v>0.47</v>
      </c>
      <c r="H123" s="2">
        <v>0.43</v>
      </c>
    </row>
    <row r="124" spans="1:8" ht="12.5" x14ac:dyDescent="0.25">
      <c r="A124" s="1" t="str">
        <f>LOWER("Male")</f>
        <v>male</v>
      </c>
      <c r="B124" s="1" t="s">
        <v>16</v>
      </c>
      <c r="C124" s="1" t="s">
        <v>17</v>
      </c>
      <c r="D124" s="1" t="str">
        <f>LOWER("Standard")</f>
        <v>standard</v>
      </c>
      <c r="E124" s="1" t="s">
        <v>11</v>
      </c>
      <c r="F124" s="1">
        <v>999</v>
      </c>
      <c r="G124" s="1">
        <v>61</v>
      </c>
      <c r="H124" s="1" t="s">
        <v>18</v>
      </c>
    </row>
    <row r="125" spans="1:8" ht="12.5" x14ac:dyDescent="0.25">
      <c r="A125" s="1" t="str">
        <f>LOWER("Male")</f>
        <v>male</v>
      </c>
      <c r="B125" s="1" t="s">
        <v>14</v>
      </c>
      <c r="C125" s="1" t="s">
        <v>15</v>
      </c>
      <c r="D125" s="1" t="str">
        <f>LOWER("Standard")</f>
        <v>standard</v>
      </c>
      <c r="E125" s="1" t="s">
        <v>11</v>
      </c>
      <c r="F125" s="1">
        <v>59</v>
      </c>
      <c r="G125" s="1">
        <v>62</v>
      </c>
      <c r="H125" s="1">
        <v>42</v>
      </c>
    </row>
    <row r="126" spans="1:8" ht="12.5" x14ac:dyDescent="0.25">
      <c r="A126" s="1" t="str">
        <f>LOWER("Male")</f>
        <v>male</v>
      </c>
      <c r="B126" s="1" t="s">
        <v>8</v>
      </c>
      <c r="C126" s="1" t="s">
        <v>9</v>
      </c>
      <c r="D126" s="1" t="s">
        <v>10</v>
      </c>
      <c r="E126" s="1" t="s">
        <v>11</v>
      </c>
      <c r="F126" s="1">
        <v>45</v>
      </c>
      <c r="G126" s="1">
        <v>74</v>
      </c>
      <c r="H126" s="1">
        <v>51</v>
      </c>
    </row>
  </sheetData>
  <sortState xmlns:xlrd2="http://schemas.microsoft.com/office/spreadsheetml/2017/richdata2" ref="A2:H127">
    <sortCondition ref="E2:E1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E621-A53F-4796-BFA6-52517B0ED9BF}">
  <dimension ref="A1:F13"/>
  <sheetViews>
    <sheetView workbookViewId="0">
      <selection activeCell="F1" sqref="F1:F12"/>
    </sheetView>
  </sheetViews>
  <sheetFormatPr baseColWidth="10" defaultRowHeight="12.5" x14ac:dyDescent="0.25"/>
  <cols>
    <col min="5" max="5" width="57.453125" customWidth="1"/>
  </cols>
  <sheetData>
    <row r="1" spans="1:6" x14ac:dyDescent="0.25">
      <c r="A1" t="s">
        <v>35</v>
      </c>
      <c r="F1">
        <v>125</v>
      </c>
    </row>
    <row r="2" spans="1:6" x14ac:dyDescent="0.25">
      <c r="A2" t="s">
        <v>52</v>
      </c>
      <c r="F2">
        <f>56 /125 *100</f>
        <v>44.800000000000004</v>
      </c>
    </row>
    <row r="3" spans="1:6" x14ac:dyDescent="0.25">
      <c r="A3" t="s">
        <v>53</v>
      </c>
      <c r="F3">
        <f>69 / 125 *100</f>
        <v>55.2</v>
      </c>
    </row>
    <row r="4" spans="1:6" x14ac:dyDescent="0.25">
      <c r="A4" t="s">
        <v>51</v>
      </c>
      <c r="F4">
        <f>77 /125 *100</f>
        <v>61.6</v>
      </c>
    </row>
    <row r="5" spans="1:6" x14ac:dyDescent="0.25">
      <c r="A5" t="s">
        <v>54</v>
      </c>
      <c r="F5">
        <f>74 / 125 *100</f>
        <v>59.199999999999996</v>
      </c>
    </row>
    <row r="6" spans="1:6" x14ac:dyDescent="0.25">
      <c r="A6" t="s">
        <v>55</v>
      </c>
      <c r="F6">
        <f>62 / 125 * 100</f>
        <v>49.6</v>
      </c>
    </row>
    <row r="7" spans="1:6" x14ac:dyDescent="0.25">
      <c r="A7" t="s">
        <v>36</v>
      </c>
      <c r="F7" t="s">
        <v>40</v>
      </c>
    </row>
    <row r="8" spans="1:6" x14ac:dyDescent="0.25">
      <c r="A8" t="s">
        <v>39</v>
      </c>
      <c r="D8" t="s">
        <v>49</v>
      </c>
      <c r="F8" t="s">
        <v>43</v>
      </c>
    </row>
    <row r="9" spans="1:6" x14ac:dyDescent="0.25">
      <c r="A9" t="s">
        <v>37</v>
      </c>
      <c r="D9" t="s">
        <v>41</v>
      </c>
      <c r="F9" t="s">
        <v>44</v>
      </c>
    </row>
    <row r="10" spans="1:6" x14ac:dyDescent="0.25">
      <c r="A10" t="s">
        <v>38</v>
      </c>
      <c r="D10" t="s">
        <v>42</v>
      </c>
      <c r="F10" t="s">
        <v>45</v>
      </c>
    </row>
    <row r="11" spans="1:6" x14ac:dyDescent="0.25">
      <c r="A11" t="s">
        <v>47</v>
      </c>
      <c r="F11" t="s">
        <v>46</v>
      </c>
    </row>
    <row r="12" spans="1:6" x14ac:dyDescent="0.25">
      <c r="A12" t="s">
        <v>48</v>
      </c>
      <c r="F12" t="s">
        <v>50</v>
      </c>
    </row>
    <row r="13" spans="1:6" x14ac:dyDescent="0.25">
      <c r="A13" t="s">
        <v>56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A61-1F98-4F35-9AF0-B1D5F64168F3}">
  <dimension ref="A1:G13"/>
  <sheetViews>
    <sheetView tabSelected="1" workbookViewId="0">
      <selection activeCell="J12" sqref="J12"/>
    </sheetView>
  </sheetViews>
  <sheetFormatPr baseColWidth="10" defaultRowHeight="12.5" x14ac:dyDescent="0.25"/>
  <cols>
    <col min="5" max="5" width="22.26953125" customWidth="1"/>
    <col min="6" max="6" width="43.7265625" customWidth="1"/>
    <col min="7" max="7" width="10.90625" customWidth="1"/>
  </cols>
  <sheetData>
    <row r="1" spans="1:7" ht="25" customHeight="1" x14ac:dyDescent="0.25">
      <c r="A1" t="s">
        <v>57</v>
      </c>
      <c r="G1">
        <v>125</v>
      </c>
    </row>
    <row r="2" spans="1:7" ht="25" customHeight="1" x14ac:dyDescent="0.25">
      <c r="A2" t="s">
        <v>59</v>
      </c>
      <c r="G2" t="s">
        <v>69</v>
      </c>
    </row>
    <row r="3" spans="1:7" ht="25" customHeight="1" x14ac:dyDescent="0.25">
      <c r="A3" t="s">
        <v>58</v>
      </c>
      <c r="G3" t="s">
        <v>70</v>
      </c>
    </row>
    <row r="4" spans="1:7" ht="25" customHeight="1" x14ac:dyDescent="0.25">
      <c r="A4" t="s">
        <v>60</v>
      </c>
      <c r="G4" t="s">
        <v>71</v>
      </c>
    </row>
    <row r="5" spans="1:7" ht="25" customHeight="1" x14ac:dyDescent="0.25">
      <c r="A5" t="s">
        <v>61</v>
      </c>
      <c r="G5" t="s">
        <v>72</v>
      </c>
    </row>
    <row r="6" spans="1:7" ht="25" customHeight="1" x14ac:dyDescent="0.25">
      <c r="A6" t="s">
        <v>62</v>
      </c>
      <c r="G6" t="s">
        <v>73</v>
      </c>
    </row>
    <row r="7" spans="1:7" ht="25" customHeight="1" x14ac:dyDescent="0.25">
      <c r="A7" t="s">
        <v>63</v>
      </c>
      <c r="G7" t="s">
        <v>75</v>
      </c>
    </row>
    <row r="8" spans="1:7" ht="25" customHeight="1" x14ac:dyDescent="0.25">
      <c r="A8" t="s">
        <v>64</v>
      </c>
      <c r="G8" t="s">
        <v>43</v>
      </c>
    </row>
    <row r="9" spans="1:7" ht="25" customHeight="1" x14ac:dyDescent="0.25">
      <c r="A9" t="s">
        <v>65</v>
      </c>
      <c r="G9" t="s">
        <v>44</v>
      </c>
    </row>
    <row r="10" spans="1:7" ht="25" customHeight="1" x14ac:dyDescent="0.25">
      <c r="A10" t="s">
        <v>66</v>
      </c>
      <c r="G10" t="s">
        <v>45</v>
      </c>
    </row>
    <row r="11" spans="1:7" ht="25" customHeight="1" x14ac:dyDescent="0.25">
      <c r="A11" t="s">
        <v>76</v>
      </c>
      <c r="G11" t="s">
        <v>46</v>
      </c>
    </row>
    <row r="12" spans="1:7" ht="25" customHeight="1" x14ac:dyDescent="0.25">
      <c r="A12" t="s">
        <v>67</v>
      </c>
      <c r="G12" t="s">
        <v>74</v>
      </c>
    </row>
    <row r="13" spans="1:7" ht="25" customHeight="1" x14ac:dyDescent="0.25">
      <c r="A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jeu_de_donnees_performance_elev</vt:lpstr>
      <vt:lpstr>Analyse_reponse_aux_questions</vt:lpstr>
      <vt:lpstr>Analysis_answers_questions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Aminata-Sow</dc:creator>
  <cp:lastModifiedBy>Aminata sow</cp:lastModifiedBy>
  <dcterms:created xsi:type="dcterms:W3CDTF">2026-07-05T01:10:42Z</dcterms:created>
  <dcterms:modified xsi:type="dcterms:W3CDTF">2026-07-05T01:12:06Z</dcterms:modified>
</cp:coreProperties>
</file>