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User\Desktop\garde dossier\"/>
    </mc:Choice>
  </mc:AlternateContent>
  <xr:revisionPtr revIDLastSave="0" documentId="8_{CFE35294-9A1E-4111-BA53-4C4965182EC7}" xr6:coauthVersionLast="47" xr6:coauthVersionMax="47" xr10:uidLastSave="{00000000-0000-0000-0000-000000000000}"/>
  <bookViews>
    <workbookView xWindow="-110" yWindow="-110" windowWidth="19420" windowHeight="10300" xr2:uid="{29789326-6244-4B7C-99E5-BAC1BCEE3F89}"/>
  </bookViews>
  <sheets>
    <sheet name="Data_Raw" sheetId="2" r:id="rId1"/>
    <sheet name="Dashboard" sheetId="1" r:id="rId2"/>
  </sheets>
  <definedNames>
    <definedName name="ExternalData_1" localSheetId="0" hidden="1">Data_Raw!$A$1:$J$921</definedName>
    <definedName name="Slicer_Device">#N/A</definedName>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1" i="1" l="1"/>
  <c r="O5" i="1"/>
  <c r="O4" i="1"/>
  <c r="O3" i="1"/>
  <c r="O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3C6338-A5B9-4BA7-8074-B9A21515F137}" keepAlive="1" name="Query - nexalink" description="Connection to the 'nexalink' query in the workbook." type="5" refreshedVersion="8" background="1" saveData="1">
    <dbPr connection="Provider=Microsoft.Mashup.OleDb.1;Data Source=$Workbook$;Location=nexalink;Extended Properties=&quot;&quot;" command="SELECT * FROM [nexalink]"/>
  </connection>
</connections>
</file>

<file path=xl/sharedStrings.xml><?xml version="1.0" encoding="utf-8"?>
<sst xmlns="http://schemas.openxmlformats.org/spreadsheetml/2006/main" count="1951" uniqueCount="118">
  <si>
    <t>Date</t>
  </si>
  <si>
    <t>Region</t>
  </si>
  <si>
    <t>Device</t>
  </si>
  <si>
    <t>Total_App_Installs</t>
  </si>
  <si>
    <t>User_Sign_Ups</t>
  </si>
  <si>
    <t>Daily_Active_Users</t>
  </si>
  <si>
    <t>Uninstalls</t>
  </si>
  <si>
    <t>Number_of_App_Crashes</t>
  </si>
  <si>
    <t>Avg_Time_Spent_per_User_min</t>
  </si>
  <si>
    <t>Num_Transactions</t>
  </si>
  <si>
    <t>US</t>
  </si>
  <si>
    <t>Android</t>
  </si>
  <si>
    <t>IOS</t>
  </si>
  <si>
    <t>Canada</t>
  </si>
  <si>
    <t>EMEA</t>
  </si>
  <si>
    <t>LATAM</t>
  </si>
  <si>
    <t>APAC</t>
  </si>
  <si>
    <t>Row Labels</t>
  </si>
  <si>
    <t>Grand Total</t>
  </si>
  <si>
    <t>Sum of Total_App_Installs</t>
  </si>
  <si>
    <t>Sum of Daily_Active_Users</t>
  </si>
  <si>
    <t>01-juin</t>
  </si>
  <si>
    <t>02-juin</t>
  </si>
  <si>
    <t>03-juin</t>
  </si>
  <si>
    <t>04-juin</t>
  </si>
  <si>
    <t>05-juin</t>
  </si>
  <si>
    <t>06-juin</t>
  </si>
  <si>
    <t>07-juin</t>
  </si>
  <si>
    <t>08-juin</t>
  </si>
  <si>
    <t>09-juin</t>
  </si>
  <si>
    <t>10-juin</t>
  </si>
  <si>
    <t>11-juin</t>
  </si>
  <si>
    <t>12-juin</t>
  </si>
  <si>
    <t>13-juin</t>
  </si>
  <si>
    <t>14-juin</t>
  </si>
  <si>
    <t>15-juin</t>
  </si>
  <si>
    <t>16-juin</t>
  </si>
  <si>
    <t>17-juin</t>
  </si>
  <si>
    <t>18-juin</t>
  </si>
  <si>
    <t>19-juin</t>
  </si>
  <si>
    <t>20-juin</t>
  </si>
  <si>
    <t>21-juin</t>
  </si>
  <si>
    <t>22-juin</t>
  </si>
  <si>
    <t>23-juin</t>
  </si>
  <si>
    <t>24-juin</t>
  </si>
  <si>
    <t>25-juin</t>
  </si>
  <si>
    <t>26-juin</t>
  </si>
  <si>
    <t>27-juin</t>
  </si>
  <si>
    <t>28-juin</t>
  </si>
  <si>
    <t>29-juin</t>
  </si>
  <si>
    <t>30-juin</t>
  </si>
  <si>
    <t>01-juil</t>
  </si>
  <si>
    <t>02-juil</t>
  </si>
  <si>
    <t>03-juil</t>
  </si>
  <si>
    <t>04-juil</t>
  </si>
  <si>
    <t>05-juil</t>
  </si>
  <si>
    <t>06-juil</t>
  </si>
  <si>
    <t>07-juil</t>
  </si>
  <si>
    <t>08-juil</t>
  </si>
  <si>
    <t>09-juil</t>
  </si>
  <si>
    <t>10-juil</t>
  </si>
  <si>
    <t>11-juil</t>
  </si>
  <si>
    <t>12-juil</t>
  </si>
  <si>
    <t>13-juil</t>
  </si>
  <si>
    <t>14-juil</t>
  </si>
  <si>
    <t>15-juil</t>
  </si>
  <si>
    <t>16-juil</t>
  </si>
  <si>
    <t>17-juil</t>
  </si>
  <si>
    <t>18-juil</t>
  </si>
  <si>
    <t>19-juil</t>
  </si>
  <si>
    <t>20-juil</t>
  </si>
  <si>
    <t>21-juil</t>
  </si>
  <si>
    <t>22-juil</t>
  </si>
  <si>
    <t>23-juil</t>
  </si>
  <si>
    <t>24-juil</t>
  </si>
  <si>
    <t>25-juil</t>
  </si>
  <si>
    <t>26-juil</t>
  </si>
  <si>
    <t>27-juil</t>
  </si>
  <si>
    <t>28-juil</t>
  </si>
  <si>
    <t>29-juil</t>
  </si>
  <si>
    <t>30-juil</t>
  </si>
  <si>
    <t>31-juil</t>
  </si>
  <si>
    <t>01-août</t>
  </si>
  <si>
    <t>02-août</t>
  </si>
  <si>
    <t>03-août</t>
  </si>
  <si>
    <t>04-août</t>
  </si>
  <si>
    <t>05-août</t>
  </si>
  <si>
    <t>06-août</t>
  </si>
  <si>
    <t>07-août</t>
  </si>
  <si>
    <t>08-août</t>
  </si>
  <si>
    <t>09-août</t>
  </si>
  <si>
    <t>10-août</t>
  </si>
  <si>
    <t>11-août</t>
  </si>
  <si>
    <t>12-août</t>
  </si>
  <si>
    <t>13-août</t>
  </si>
  <si>
    <t>14-août</t>
  </si>
  <si>
    <t>15-août</t>
  </si>
  <si>
    <t>16-août</t>
  </si>
  <si>
    <t>17-août</t>
  </si>
  <si>
    <t>18-août</t>
  </si>
  <si>
    <t>19-août</t>
  </si>
  <si>
    <t>20-août</t>
  </si>
  <si>
    <t>21-août</t>
  </si>
  <si>
    <t>22-août</t>
  </si>
  <si>
    <t>23-août</t>
  </si>
  <si>
    <t>24-août</t>
  </si>
  <si>
    <t>25-août</t>
  </si>
  <si>
    <t>26-août</t>
  </si>
  <si>
    <t>27-août</t>
  </si>
  <si>
    <t>28-août</t>
  </si>
  <si>
    <t>29-août</t>
  </si>
  <si>
    <t>30-août</t>
  </si>
  <si>
    <t>31-août</t>
  </si>
  <si>
    <t>Uninstall Rate</t>
  </si>
  <si>
    <t>Crash Rate</t>
  </si>
  <si>
    <t>Install-to-Signup Conversion Rate</t>
  </si>
  <si>
    <t>Total Transactions</t>
  </si>
  <si>
    <t>Avg Time Spent per User (min)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</si>
</sst>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sz val="11"/>
      <color theme="1"/>
      <name val="Aptos Narrow"/>
      <family val="2"/>
      <scheme val="minor"/>
    </font>
    <font>
      <b/>
      <sz val="14"/>
      <color theme="1"/>
      <name val="Aptos Narrow"/>
      <family val="2"/>
      <scheme val="minor"/>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22" fontId="0" fillId="0" borderId="0" xfId="0" applyNumberFormat="1"/>
    <xf numFmtId="0" fontId="0" fillId="0" borderId="0" xfId="0" applyAlignment="1">
      <alignment horizontal="left"/>
    </xf>
    <xf numFmtId="9" fontId="2" fillId="0" borderId="0" xfId="1" applyFont="1"/>
    <xf numFmtId="0" fontId="2" fillId="0" borderId="0" xfId="0" applyFont="1"/>
    <xf numFmtId="164" fontId="2" fillId="2" borderId="0" xfId="1" applyNumberFormat="1" applyFont="1" applyFill="1"/>
    <xf numFmtId="0" fontId="2" fillId="2" borderId="0" xfId="0" applyFont="1" applyFill="1"/>
    <xf numFmtId="0" fontId="0" fillId="2" borderId="0" xfId="0" applyFill="1"/>
  </cellXfs>
  <cellStyles count="2">
    <cellStyle name="Normal" xfId="0" builtinId="0"/>
    <cellStyle name="Pourcentage" xfId="1" builtinId="5"/>
  </cellStyles>
  <dxfs count="5">
    <dxf>
      <numFmt numFmtId="0" formatCode="General"/>
    </dxf>
    <dxf>
      <numFmt numFmtId="0" formatCode="General"/>
    </dxf>
    <dxf>
      <numFmt numFmtId="27" formatCode="dd/mm/yyyy\ hh:mm"/>
    </dxf>
    <dxf>
      <fill>
        <patternFill patternType="solid">
          <bgColor rgb="FF00B0F0"/>
        </patternFill>
      </fill>
    </dxf>
    <dxf>
      <fill>
        <patternFill patternType="solid">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[Nexalink_Dashboard_Sycammore.xlsx]Dashboard!PivotTable1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Dashboard!$C$2</c:f>
              <c:strCache>
                <c:ptCount val="1"/>
                <c:pt idx="0">
                  <c:v>Sum of Total_App_Installs</c:v>
                </c:pt>
              </c:strCache>
            </c:strRef>
          </c:tx>
          <c:spPr>
            <a:ln w="28575" cap="rnd">
              <a:solidFill>
                <a:schemeClr val="accent1"/>
              </a:solidFill>
              <a:round/>
            </a:ln>
            <a:effectLst/>
          </c:spPr>
          <c:marker>
            <c:symbol val="none"/>
          </c:marker>
          <c:cat>
            <c:strRef>
              <c:f>Dashboard!$B$3:$B$95</c:f>
              <c:strCache>
                <c:ptCount val="92"/>
                <c:pt idx="0">
                  <c:v>01-juin</c:v>
                </c:pt>
                <c:pt idx="1">
                  <c:v>02-juin</c:v>
                </c:pt>
                <c:pt idx="2">
                  <c:v>03-juin</c:v>
                </c:pt>
                <c:pt idx="3">
                  <c:v>04-juin</c:v>
                </c:pt>
                <c:pt idx="4">
                  <c:v>05-juin</c:v>
                </c:pt>
                <c:pt idx="5">
                  <c:v>06-juin</c:v>
                </c:pt>
                <c:pt idx="6">
                  <c:v>07-juin</c:v>
                </c:pt>
                <c:pt idx="7">
                  <c:v>08-juin</c:v>
                </c:pt>
                <c:pt idx="8">
                  <c:v>09-juin</c:v>
                </c:pt>
                <c:pt idx="9">
                  <c:v>10-juin</c:v>
                </c:pt>
                <c:pt idx="10">
                  <c:v>11-juin</c:v>
                </c:pt>
                <c:pt idx="11">
                  <c:v>12-juin</c:v>
                </c:pt>
                <c:pt idx="12">
                  <c:v>13-juin</c:v>
                </c:pt>
                <c:pt idx="13">
                  <c:v>14-juin</c:v>
                </c:pt>
                <c:pt idx="14">
                  <c:v>15-juin</c:v>
                </c:pt>
                <c:pt idx="15">
                  <c:v>16-juin</c:v>
                </c:pt>
                <c:pt idx="16">
                  <c:v>17-juin</c:v>
                </c:pt>
                <c:pt idx="17">
                  <c:v>18-juin</c:v>
                </c:pt>
                <c:pt idx="18">
                  <c:v>19-juin</c:v>
                </c:pt>
                <c:pt idx="19">
                  <c:v>20-juin</c:v>
                </c:pt>
                <c:pt idx="20">
                  <c:v>21-juin</c:v>
                </c:pt>
                <c:pt idx="21">
                  <c:v>22-juin</c:v>
                </c:pt>
                <c:pt idx="22">
                  <c:v>23-juin</c:v>
                </c:pt>
                <c:pt idx="23">
                  <c:v>24-juin</c:v>
                </c:pt>
                <c:pt idx="24">
                  <c:v>25-juin</c:v>
                </c:pt>
                <c:pt idx="25">
                  <c:v>26-juin</c:v>
                </c:pt>
                <c:pt idx="26">
                  <c:v>27-juin</c:v>
                </c:pt>
                <c:pt idx="27">
                  <c:v>28-juin</c:v>
                </c:pt>
                <c:pt idx="28">
                  <c:v>29-juin</c:v>
                </c:pt>
                <c:pt idx="29">
                  <c:v>30-juin</c:v>
                </c:pt>
                <c:pt idx="30">
                  <c:v>01-juil</c:v>
                </c:pt>
                <c:pt idx="31">
                  <c:v>02-juil</c:v>
                </c:pt>
                <c:pt idx="32">
                  <c:v>03-juil</c:v>
                </c:pt>
                <c:pt idx="33">
                  <c:v>04-juil</c:v>
                </c:pt>
                <c:pt idx="34">
                  <c:v>05-juil</c:v>
                </c:pt>
                <c:pt idx="35">
                  <c:v>06-juil</c:v>
                </c:pt>
                <c:pt idx="36">
                  <c:v>07-juil</c:v>
                </c:pt>
                <c:pt idx="37">
                  <c:v>08-juil</c:v>
                </c:pt>
                <c:pt idx="38">
                  <c:v>09-juil</c:v>
                </c:pt>
                <c:pt idx="39">
                  <c:v>10-juil</c:v>
                </c:pt>
                <c:pt idx="40">
                  <c:v>11-juil</c:v>
                </c:pt>
                <c:pt idx="41">
                  <c:v>12-juil</c:v>
                </c:pt>
                <c:pt idx="42">
                  <c:v>13-juil</c:v>
                </c:pt>
                <c:pt idx="43">
                  <c:v>14-juil</c:v>
                </c:pt>
                <c:pt idx="44">
                  <c:v>15-juil</c:v>
                </c:pt>
                <c:pt idx="45">
                  <c:v>16-juil</c:v>
                </c:pt>
                <c:pt idx="46">
                  <c:v>17-juil</c:v>
                </c:pt>
                <c:pt idx="47">
                  <c:v>18-juil</c:v>
                </c:pt>
                <c:pt idx="48">
                  <c:v>19-juil</c:v>
                </c:pt>
                <c:pt idx="49">
                  <c:v>20-juil</c:v>
                </c:pt>
                <c:pt idx="50">
                  <c:v>21-juil</c:v>
                </c:pt>
                <c:pt idx="51">
                  <c:v>22-juil</c:v>
                </c:pt>
                <c:pt idx="52">
                  <c:v>23-juil</c:v>
                </c:pt>
                <c:pt idx="53">
                  <c:v>24-juil</c:v>
                </c:pt>
                <c:pt idx="54">
                  <c:v>25-juil</c:v>
                </c:pt>
                <c:pt idx="55">
                  <c:v>26-juil</c:v>
                </c:pt>
                <c:pt idx="56">
                  <c:v>27-juil</c:v>
                </c:pt>
                <c:pt idx="57">
                  <c:v>28-juil</c:v>
                </c:pt>
                <c:pt idx="58">
                  <c:v>29-juil</c:v>
                </c:pt>
                <c:pt idx="59">
                  <c:v>30-juil</c:v>
                </c:pt>
                <c:pt idx="60">
                  <c:v>31-juil</c:v>
                </c:pt>
                <c:pt idx="61">
                  <c:v>01-août</c:v>
                </c:pt>
                <c:pt idx="62">
                  <c:v>02-août</c:v>
                </c:pt>
                <c:pt idx="63">
                  <c:v>03-août</c:v>
                </c:pt>
                <c:pt idx="64">
                  <c:v>04-août</c:v>
                </c:pt>
                <c:pt idx="65">
                  <c:v>05-août</c:v>
                </c:pt>
                <c:pt idx="66">
                  <c:v>06-août</c:v>
                </c:pt>
                <c:pt idx="67">
                  <c:v>07-août</c:v>
                </c:pt>
                <c:pt idx="68">
                  <c:v>08-août</c:v>
                </c:pt>
                <c:pt idx="69">
                  <c:v>09-août</c:v>
                </c:pt>
                <c:pt idx="70">
                  <c:v>10-août</c:v>
                </c:pt>
                <c:pt idx="71">
                  <c:v>11-août</c:v>
                </c:pt>
                <c:pt idx="72">
                  <c:v>12-août</c:v>
                </c:pt>
                <c:pt idx="73">
                  <c:v>13-août</c:v>
                </c:pt>
                <c:pt idx="74">
                  <c:v>14-août</c:v>
                </c:pt>
                <c:pt idx="75">
                  <c:v>15-août</c:v>
                </c:pt>
                <c:pt idx="76">
                  <c:v>16-août</c:v>
                </c:pt>
                <c:pt idx="77">
                  <c:v>17-août</c:v>
                </c:pt>
                <c:pt idx="78">
                  <c:v>18-août</c:v>
                </c:pt>
                <c:pt idx="79">
                  <c:v>19-août</c:v>
                </c:pt>
                <c:pt idx="80">
                  <c:v>20-août</c:v>
                </c:pt>
                <c:pt idx="81">
                  <c:v>21-août</c:v>
                </c:pt>
                <c:pt idx="82">
                  <c:v>22-août</c:v>
                </c:pt>
                <c:pt idx="83">
                  <c:v>23-août</c:v>
                </c:pt>
                <c:pt idx="84">
                  <c:v>24-août</c:v>
                </c:pt>
                <c:pt idx="85">
                  <c:v>25-août</c:v>
                </c:pt>
                <c:pt idx="86">
                  <c:v>26-août</c:v>
                </c:pt>
                <c:pt idx="87">
                  <c:v>27-août</c:v>
                </c:pt>
                <c:pt idx="88">
                  <c:v>28-août</c:v>
                </c:pt>
                <c:pt idx="89">
                  <c:v>29-août</c:v>
                </c:pt>
                <c:pt idx="90">
                  <c:v>30-août</c:v>
                </c:pt>
                <c:pt idx="91">
                  <c:v>31-août</c:v>
                </c:pt>
              </c:strCache>
            </c:strRef>
          </c:cat>
          <c:val>
            <c:numRef>
              <c:f>Dashboard!$C$3:$C$95</c:f>
              <c:numCache>
                <c:formatCode>General</c:formatCode>
                <c:ptCount val="92"/>
                <c:pt idx="0">
                  <c:v>5862</c:v>
                </c:pt>
                <c:pt idx="1">
                  <c:v>4876</c:v>
                </c:pt>
                <c:pt idx="2">
                  <c:v>4262</c:v>
                </c:pt>
                <c:pt idx="3">
                  <c:v>2069</c:v>
                </c:pt>
                <c:pt idx="4">
                  <c:v>2552</c:v>
                </c:pt>
                <c:pt idx="5">
                  <c:v>5819</c:v>
                </c:pt>
                <c:pt idx="6">
                  <c:v>2753</c:v>
                </c:pt>
                <c:pt idx="7">
                  <c:v>5829</c:v>
                </c:pt>
                <c:pt idx="8">
                  <c:v>5501</c:v>
                </c:pt>
                <c:pt idx="9">
                  <c:v>5624</c:v>
                </c:pt>
                <c:pt idx="10">
                  <c:v>4334</c:v>
                </c:pt>
                <c:pt idx="11">
                  <c:v>5468</c:v>
                </c:pt>
                <c:pt idx="12">
                  <c:v>4232</c:v>
                </c:pt>
                <c:pt idx="13">
                  <c:v>3815</c:v>
                </c:pt>
                <c:pt idx="14">
                  <c:v>4051</c:v>
                </c:pt>
                <c:pt idx="15">
                  <c:v>1865</c:v>
                </c:pt>
                <c:pt idx="16">
                  <c:v>2871</c:v>
                </c:pt>
                <c:pt idx="17">
                  <c:v>5116</c:v>
                </c:pt>
                <c:pt idx="18">
                  <c:v>4849</c:v>
                </c:pt>
                <c:pt idx="19">
                  <c:v>2570</c:v>
                </c:pt>
                <c:pt idx="20">
                  <c:v>4213</c:v>
                </c:pt>
                <c:pt idx="21">
                  <c:v>4839</c:v>
                </c:pt>
                <c:pt idx="22">
                  <c:v>1698</c:v>
                </c:pt>
                <c:pt idx="23">
                  <c:v>2259</c:v>
                </c:pt>
                <c:pt idx="24">
                  <c:v>4121</c:v>
                </c:pt>
                <c:pt idx="25">
                  <c:v>5421</c:v>
                </c:pt>
                <c:pt idx="26">
                  <c:v>3057</c:v>
                </c:pt>
                <c:pt idx="27">
                  <c:v>2129</c:v>
                </c:pt>
                <c:pt idx="28">
                  <c:v>5442</c:v>
                </c:pt>
                <c:pt idx="29">
                  <c:v>4130</c:v>
                </c:pt>
                <c:pt idx="30">
                  <c:v>3510</c:v>
                </c:pt>
                <c:pt idx="31">
                  <c:v>5240</c:v>
                </c:pt>
                <c:pt idx="32">
                  <c:v>1781</c:v>
                </c:pt>
                <c:pt idx="33">
                  <c:v>3223</c:v>
                </c:pt>
                <c:pt idx="34">
                  <c:v>5668</c:v>
                </c:pt>
                <c:pt idx="35">
                  <c:v>2139</c:v>
                </c:pt>
                <c:pt idx="36">
                  <c:v>2084</c:v>
                </c:pt>
                <c:pt idx="37">
                  <c:v>5085</c:v>
                </c:pt>
                <c:pt idx="38">
                  <c:v>3426</c:v>
                </c:pt>
                <c:pt idx="39">
                  <c:v>2235</c:v>
                </c:pt>
                <c:pt idx="40">
                  <c:v>5647</c:v>
                </c:pt>
                <c:pt idx="41">
                  <c:v>2172</c:v>
                </c:pt>
                <c:pt idx="42">
                  <c:v>1955</c:v>
                </c:pt>
                <c:pt idx="43">
                  <c:v>4763</c:v>
                </c:pt>
                <c:pt idx="44">
                  <c:v>2278</c:v>
                </c:pt>
                <c:pt idx="45">
                  <c:v>5901</c:v>
                </c:pt>
                <c:pt idx="46">
                  <c:v>2273</c:v>
                </c:pt>
                <c:pt idx="47">
                  <c:v>5003</c:v>
                </c:pt>
                <c:pt idx="48">
                  <c:v>5921</c:v>
                </c:pt>
                <c:pt idx="49">
                  <c:v>3397</c:v>
                </c:pt>
                <c:pt idx="50">
                  <c:v>2439</c:v>
                </c:pt>
                <c:pt idx="51">
                  <c:v>5097</c:v>
                </c:pt>
                <c:pt idx="52">
                  <c:v>4463</c:v>
                </c:pt>
                <c:pt idx="53">
                  <c:v>4403</c:v>
                </c:pt>
                <c:pt idx="54">
                  <c:v>2715</c:v>
                </c:pt>
                <c:pt idx="55">
                  <c:v>1791</c:v>
                </c:pt>
                <c:pt idx="56">
                  <c:v>4297</c:v>
                </c:pt>
                <c:pt idx="57">
                  <c:v>5399</c:v>
                </c:pt>
                <c:pt idx="58">
                  <c:v>2770</c:v>
                </c:pt>
                <c:pt idx="59">
                  <c:v>1863</c:v>
                </c:pt>
                <c:pt idx="60">
                  <c:v>4904</c:v>
                </c:pt>
                <c:pt idx="61">
                  <c:v>3273</c:v>
                </c:pt>
                <c:pt idx="62">
                  <c:v>5670</c:v>
                </c:pt>
                <c:pt idx="63">
                  <c:v>4717</c:v>
                </c:pt>
                <c:pt idx="64">
                  <c:v>4501</c:v>
                </c:pt>
                <c:pt idx="65">
                  <c:v>2265</c:v>
                </c:pt>
                <c:pt idx="66">
                  <c:v>3429</c:v>
                </c:pt>
                <c:pt idx="67">
                  <c:v>4121</c:v>
                </c:pt>
                <c:pt idx="68">
                  <c:v>1799</c:v>
                </c:pt>
                <c:pt idx="69">
                  <c:v>3110</c:v>
                </c:pt>
                <c:pt idx="70">
                  <c:v>4071</c:v>
                </c:pt>
                <c:pt idx="71">
                  <c:v>5555</c:v>
                </c:pt>
                <c:pt idx="72">
                  <c:v>2760</c:v>
                </c:pt>
                <c:pt idx="73">
                  <c:v>1914</c:v>
                </c:pt>
                <c:pt idx="74">
                  <c:v>5315</c:v>
                </c:pt>
                <c:pt idx="75">
                  <c:v>3095</c:v>
                </c:pt>
                <c:pt idx="76">
                  <c:v>4536</c:v>
                </c:pt>
                <c:pt idx="77">
                  <c:v>2748</c:v>
                </c:pt>
                <c:pt idx="78">
                  <c:v>3058</c:v>
                </c:pt>
                <c:pt idx="79">
                  <c:v>2478</c:v>
                </c:pt>
                <c:pt idx="80">
                  <c:v>4424</c:v>
                </c:pt>
                <c:pt idx="81">
                  <c:v>3948</c:v>
                </c:pt>
                <c:pt idx="82">
                  <c:v>4057</c:v>
                </c:pt>
                <c:pt idx="83">
                  <c:v>1745</c:v>
                </c:pt>
                <c:pt idx="84">
                  <c:v>5143</c:v>
                </c:pt>
                <c:pt idx="85">
                  <c:v>1668</c:v>
                </c:pt>
                <c:pt idx="86">
                  <c:v>5819</c:v>
                </c:pt>
                <c:pt idx="87">
                  <c:v>5890</c:v>
                </c:pt>
                <c:pt idx="88">
                  <c:v>4061</c:v>
                </c:pt>
                <c:pt idx="89">
                  <c:v>4211</c:v>
                </c:pt>
                <c:pt idx="90">
                  <c:v>3968</c:v>
                </c:pt>
                <c:pt idx="91">
                  <c:v>3885</c:v>
                </c:pt>
              </c:numCache>
            </c:numRef>
          </c:val>
          <c:smooth val="0"/>
          <c:extLst>
            <c:ext xmlns:c16="http://schemas.microsoft.com/office/drawing/2014/chart" uri="{C3380CC4-5D6E-409C-BE32-E72D297353CC}">
              <c16:uniqueId val="{00000000-597F-4985-B3DB-0839BDA19F03}"/>
            </c:ext>
          </c:extLst>
        </c:ser>
        <c:ser>
          <c:idx val="1"/>
          <c:order val="1"/>
          <c:tx>
            <c:strRef>
              <c:f>Dashboard!$D$2</c:f>
              <c:strCache>
                <c:ptCount val="1"/>
                <c:pt idx="0">
                  <c:v>Sum of Daily_Active_Users</c:v>
                </c:pt>
              </c:strCache>
            </c:strRef>
          </c:tx>
          <c:spPr>
            <a:ln w="28575" cap="rnd">
              <a:solidFill>
                <a:schemeClr val="accent2"/>
              </a:solidFill>
              <a:round/>
            </a:ln>
            <a:effectLst/>
          </c:spPr>
          <c:marker>
            <c:symbol val="none"/>
          </c:marker>
          <c:cat>
            <c:strRef>
              <c:f>Dashboard!$B$3:$B$95</c:f>
              <c:strCache>
                <c:ptCount val="92"/>
                <c:pt idx="0">
                  <c:v>01-juin</c:v>
                </c:pt>
                <c:pt idx="1">
                  <c:v>02-juin</c:v>
                </c:pt>
                <c:pt idx="2">
                  <c:v>03-juin</c:v>
                </c:pt>
                <c:pt idx="3">
                  <c:v>04-juin</c:v>
                </c:pt>
                <c:pt idx="4">
                  <c:v>05-juin</c:v>
                </c:pt>
                <c:pt idx="5">
                  <c:v>06-juin</c:v>
                </c:pt>
                <c:pt idx="6">
                  <c:v>07-juin</c:v>
                </c:pt>
                <c:pt idx="7">
                  <c:v>08-juin</c:v>
                </c:pt>
                <c:pt idx="8">
                  <c:v>09-juin</c:v>
                </c:pt>
                <c:pt idx="9">
                  <c:v>10-juin</c:v>
                </c:pt>
                <c:pt idx="10">
                  <c:v>11-juin</c:v>
                </c:pt>
                <c:pt idx="11">
                  <c:v>12-juin</c:v>
                </c:pt>
                <c:pt idx="12">
                  <c:v>13-juin</c:v>
                </c:pt>
                <c:pt idx="13">
                  <c:v>14-juin</c:v>
                </c:pt>
                <c:pt idx="14">
                  <c:v>15-juin</c:v>
                </c:pt>
                <c:pt idx="15">
                  <c:v>16-juin</c:v>
                </c:pt>
                <c:pt idx="16">
                  <c:v>17-juin</c:v>
                </c:pt>
                <c:pt idx="17">
                  <c:v>18-juin</c:v>
                </c:pt>
                <c:pt idx="18">
                  <c:v>19-juin</c:v>
                </c:pt>
                <c:pt idx="19">
                  <c:v>20-juin</c:v>
                </c:pt>
                <c:pt idx="20">
                  <c:v>21-juin</c:v>
                </c:pt>
                <c:pt idx="21">
                  <c:v>22-juin</c:v>
                </c:pt>
                <c:pt idx="22">
                  <c:v>23-juin</c:v>
                </c:pt>
                <c:pt idx="23">
                  <c:v>24-juin</c:v>
                </c:pt>
                <c:pt idx="24">
                  <c:v>25-juin</c:v>
                </c:pt>
                <c:pt idx="25">
                  <c:v>26-juin</c:v>
                </c:pt>
                <c:pt idx="26">
                  <c:v>27-juin</c:v>
                </c:pt>
                <c:pt idx="27">
                  <c:v>28-juin</c:v>
                </c:pt>
                <c:pt idx="28">
                  <c:v>29-juin</c:v>
                </c:pt>
                <c:pt idx="29">
                  <c:v>30-juin</c:v>
                </c:pt>
                <c:pt idx="30">
                  <c:v>01-juil</c:v>
                </c:pt>
                <c:pt idx="31">
                  <c:v>02-juil</c:v>
                </c:pt>
                <c:pt idx="32">
                  <c:v>03-juil</c:v>
                </c:pt>
                <c:pt idx="33">
                  <c:v>04-juil</c:v>
                </c:pt>
                <c:pt idx="34">
                  <c:v>05-juil</c:v>
                </c:pt>
                <c:pt idx="35">
                  <c:v>06-juil</c:v>
                </c:pt>
                <c:pt idx="36">
                  <c:v>07-juil</c:v>
                </c:pt>
                <c:pt idx="37">
                  <c:v>08-juil</c:v>
                </c:pt>
                <c:pt idx="38">
                  <c:v>09-juil</c:v>
                </c:pt>
                <c:pt idx="39">
                  <c:v>10-juil</c:v>
                </c:pt>
                <c:pt idx="40">
                  <c:v>11-juil</c:v>
                </c:pt>
                <c:pt idx="41">
                  <c:v>12-juil</c:v>
                </c:pt>
                <c:pt idx="42">
                  <c:v>13-juil</c:v>
                </c:pt>
                <c:pt idx="43">
                  <c:v>14-juil</c:v>
                </c:pt>
                <c:pt idx="44">
                  <c:v>15-juil</c:v>
                </c:pt>
                <c:pt idx="45">
                  <c:v>16-juil</c:v>
                </c:pt>
                <c:pt idx="46">
                  <c:v>17-juil</c:v>
                </c:pt>
                <c:pt idx="47">
                  <c:v>18-juil</c:v>
                </c:pt>
                <c:pt idx="48">
                  <c:v>19-juil</c:v>
                </c:pt>
                <c:pt idx="49">
                  <c:v>20-juil</c:v>
                </c:pt>
                <c:pt idx="50">
                  <c:v>21-juil</c:v>
                </c:pt>
                <c:pt idx="51">
                  <c:v>22-juil</c:v>
                </c:pt>
                <c:pt idx="52">
                  <c:v>23-juil</c:v>
                </c:pt>
                <c:pt idx="53">
                  <c:v>24-juil</c:v>
                </c:pt>
                <c:pt idx="54">
                  <c:v>25-juil</c:v>
                </c:pt>
                <c:pt idx="55">
                  <c:v>26-juil</c:v>
                </c:pt>
                <c:pt idx="56">
                  <c:v>27-juil</c:v>
                </c:pt>
                <c:pt idx="57">
                  <c:v>28-juil</c:v>
                </c:pt>
                <c:pt idx="58">
                  <c:v>29-juil</c:v>
                </c:pt>
                <c:pt idx="59">
                  <c:v>30-juil</c:v>
                </c:pt>
                <c:pt idx="60">
                  <c:v>31-juil</c:v>
                </c:pt>
                <c:pt idx="61">
                  <c:v>01-août</c:v>
                </c:pt>
                <c:pt idx="62">
                  <c:v>02-août</c:v>
                </c:pt>
                <c:pt idx="63">
                  <c:v>03-août</c:v>
                </c:pt>
                <c:pt idx="64">
                  <c:v>04-août</c:v>
                </c:pt>
                <c:pt idx="65">
                  <c:v>05-août</c:v>
                </c:pt>
                <c:pt idx="66">
                  <c:v>06-août</c:v>
                </c:pt>
                <c:pt idx="67">
                  <c:v>07-août</c:v>
                </c:pt>
                <c:pt idx="68">
                  <c:v>08-août</c:v>
                </c:pt>
                <c:pt idx="69">
                  <c:v>09-août</c:v>
                </c:pt>
                <c:pt idx="70">
                  <c:v>10-août</c:v>
                </c:pt>
                <c:pt idx="71">
                  <c:v>11-août</c:v>
                </c:pt>
                <c:pt idx="72">
                  <c:v>12-août</c:v>
                </c:pt>
                <c:pt idx="73">
                  <c:v>13-août</c:v>
                </c:pt>
                <c:pt idx="74">
                  <c:v>14-août</c:v>
                </c:pt>
                <c:pt idx="75">
                  <c:v>15-août</c:v>
                </c:pt>
                <c:pt idx="76">
                  <c:v>16-août</c:v>
                </c:pt>
                <c:pt idx="77">
                  <c:v>17-août</c:v>
                </c:pt>
                <c:pt idx="78">
                  <c:v>18-août</c:v>
                </c:pt>
                <c:pt idx="79">
                  <c:v>19-août</c:v>
                </c:pt>
                <c:pt idx="80">
                  <c:v>20-août</c:v>
                </c:pt>
                <c:pt idx="81">
                  <c:v>21-août</c:v>
                </c:pt>
                <c:pt idx="82">
                  <c:v>22-août</c:v>
                </c:pt>
                <c:pt idx="83">
                  <c:v>23-août</c:v>
                </c:pt>
                <c:pt idx="84">
                  <c:v>24-août</c:v>
                </c:pt>
                <c:pt idx="85">
                  <c:v>25-août</c:v>
                </c:pt>
                <c:pt idx="86">
                  <c:v>26-août</c:v>
                </c:pt>
                <c:pt idx="87">
                  <c:v>27-août</c:v>
                </c:pt>
                <c:pt idx="88">
                  <c:v>28-août</c:v>
                </c:pt>
                <c:pt idx="89">
                  <c:v>29-août</c:v>
                </c:pt>
                <c:pt idx="90">
                  <c:v>30-août</c:v>
                </c:pt>
                <c:pt idx="91">
                  <c:v>31-août</c:v>
                </c:pt>
              </c:strCache>
            </c:strRef>
          </c:cat>
          <c:val>
            <c:numRef>
              <c:f>Dashboard!$D$3:$D$95</c:f>
              <c:numCache>
                <c:formatCode>General</c:formatCode>
                <c:ptCount val="92"/>
                <c:pt idx="0">
                  <c:v>3087</c:v>
                </c:pt>
                <c:pt idx="1">
                  <c:v>1736</c:v>
                </c:pt>
                <c:pt idx="2">
                  <c:v>2553</c:v>
                </c:pt>
                <c:pt idx="3">
                  <c:v>1037</c:v>
                </c:pt>
                <c:pt idx="4">
                  <c:v>854</c:v>
                </c:pt>
                <c:pt idx="5">
                  <c:v>2265</c:v>
                </c:pt>
                <c:pt idx="6">
                  <c:v>2887</c:v>
                </c:pt>
                <c:pt idx="7">
                  <c:v>2659</c:v>
                </c:pt>
                <c:pt idx="8">
                  <c:v>2636</c:v>
                </c:pt>
                <c:pt idx="9">
                  <c:v>3320</c:v>
                </c:pt>
                <c:pt idx="10">
                  <c:v>2278</c:v>
                </c:pt>
                <c:pt idx="11">
                  <c:v>2048</c:v>
                </c:pt>
                <c:pt idx="12">
                  <c:v>2403</c:v>
                </c:pt>
                <c:pt idx="13">
                  <c:v>2107</c:v>
                </c:pt>
                <c:pt idx="14">
                  <c:v>1215</c:v>
                </c:pt>
                <c:pt idx="15">
                  <c:v>1013</c:v>
                </c:pt>
                <c:pt idx="16">
                  <c:v>1714</c:v>
                </c:pt>
                <c:pt idx="17">
                  <c:v>2271</c:v>
                </c:pt>
                <c:pt idx="18">
                  <c:v>1560</c:v>
                </c:pt>
                <c:pt idx="19">
                  <c:v>1437</c:v>
                </c:pt>
                <c:pt idx="20">
                  <c:v>3639</c:v>
                </c:pt>
                <c:pt idx="21">
                  <c:v>2200</c:v>
                </c:pt>
                <c:pt idx="22">
                  <c:v>941</c:v>
                </c:pt>
                <c:pt idx="23">
                  <c:v>1111</c:v>
                </c:pt>
                <c:pt idx="24">
                  <c:v>1825</c:v>
                </c:pt>
                <c:pt idx="25">
                  <c:v>1781</c:v>
                </c:pt>
                <c:pt idx="26">
                  <c:v>1255</c:v>
                </c:pt>
                <c:pt idx="27">
                  <c:v>1089</c:v>
                </c:pt>
                <c:pt idx="28">
                  <c:v>1985</c:v>
                </c:pt>
                <c:pt idx="29">
                  <c:v>2137</c:v>
                </c:pt>
                <c:pt idx="30">
                  <c:v>1629</c:v>
                </c:pt>
                <c:pt idx="31">
                  <c:v>1736</c:v>
                </c:pt>
                <c:pt idx="32">
                  <c:v>1790</c:v>
                </c:pt>
                <c:pt idx="33">
                  <c:v>2207</c:v>
                </c:pt>
                <c:pt idx="34">
                  <c:v>3368</c:v>
                </c:pt>
                <c:pt idx="35">
                  <c:v>1904</c:v>
                </c:pt>
                <c:pt idx="36">
                  <c:v>1065</c:v>
                </c:pt>
                <c:pt idx="37">
                  <c:v>2833</c:v>
                </c:pt>
                <c:pt idx="38">
                  <c:v>1982</c:v>
                </c:pt>
                <c:pt idx="39">
                  <c:v>1308</c:v>
                </c:pt>
                <c:pt idx="40">
                  <c:v>2980</c:v>
                </c:pt>
                <c:pt idx="41">
                  <c:v>1942</c:v>
                </c:pt>
                <c:pt idx="42">
                  <c:v>1854</c:v>
                </c:pt>
                <c:pt idx="43">
                  <c:v>2207</c:v>
                </c:pt>
                <c:pt idx="44">
                  <c:v>1226</c:v>
                </c:pt>
                <c:pt idx="45">
                  <c:v>2276</c:v>
                </c:pt>
                <c:pt idx="46">
                  <c:v>2059</c:v>
                </c:pt>
                <c:pt idx="47">
                  <c:v>2645</c:v>
                </c:pt>
                <c:pt idx="48">
                  <c:v>1481</c:v>
                </c:pt>
                <c:pt idx="49">
                  <c:v>1758</c:v>
                </c:pt>
                <c:pt idx="50">
                  <c:v>1423</c:v>
                </c:pt>
                <c:pt idx="51">
                  <c:v>3002</c:v>
                </c:pt>
                <c:pt idx="52">
                  <c:v>2090</c:v>
                </c:pt>
                <c:pt idx="53">
                  <c:v>1475</c:v>
                </c:pt>
                <c:pt idx="54">
                  <c:v>1185</c:v>
                </c:pt>
                <c:pt idx="55">
                  <c:v>2158</c:v>
                </c:pt>
                <c:pt idx="56">
                  <c:v>1409</c:v>
                </c:pt>
                <c:pt idx="57">
                  <c:v>2976</c:v>
                </c:pt>
                <c:pt idx="58">
                  <c:v>2131</c:v>
                </c:pt>
                <c:pt idx="59">
                  <c:v>1889</c:v>
                </c:pt>
                <c:pt idx="60">
                  <c:v>2267</c:v>
                </c:pt>
                <c:pt idx="61">
                  <c:v>1215</c:v>
                </c:pt>
                <c:pt idx="62">
                  <c:v>3252</c:v>
                </c:pt>
                <c:pt idx="63">
                  <c:v>2123</c:v>
                </c:pt>
                <c:pt idx="64">
                  <c:v>2435</c:v>
                </c:pt>
                <c:pt idx="65">
                  <c:v>2110</c:v>
                </c:pt>
                <c:pt idx="66">
                  <c:v>1860</c:v>
                </c:pt>
                <c:pt idx="67">
                  <c:v>2158</c:v>
                </c:pt>
                <c:pt idx="68">
                  <c:v>2016</c:v>
                </c:pt>
                <c:pt idx="69">
                  <c:v>1374</c:v>
                </c:pt>
                <c:pt idx="70">
                  <c:v>1298</c:v>
                </c:pt>
                <c:pt idx="71">
                  <c:v>2943</c:v>
                </c:pt>
                <c:pt idx="72">
                  <c:v>2151</c:v>
                </c:pt>
                <c:pt idx="73">
                  <c:v>2087</c:v>
                </c:pt>
                <c:pt idx="74">
                  <c:v>1686</c:v>
                </c:pt>
                <c:pt idx="75">
                  <c:v>1717</c:v>
                </c:pt>
                <c:pt idx="76">
                  <c:v>1431</c:v>
                </c:pt>
                <c:pt idx="77">
                  <c:v>1357</c:v>
                </c:pt>
                <c:pt idx="78">
                  <c:v>1804</c:v>
                </c:pt>
                <c:pt idx="79">
                  <c:v>2025</c:v>
                </c:pt>
                <c:pt idx="80">
                  <c:v>1608</c:v>
                </c:pt>
                <c:pt idx="81">
                  <c:v>1798</c:v>
                </c:pt>
                <c:pt idx="82">
                  <c:v>1712</c:v>
                </c:pt>
                <c:pt idx="83">
                  <c:v>2055</c:v>
                </c:pt>
                <c:pt idx="84">
                  <c:v>2382</c:v>
                </c:pt>
                <c:pt idx="85">
                  <c:v>2211</c:v>
                </c:pt>
                <c:pt idx="86">
                  <c:v>3140</c:v>
                </c:pt>
                <c:pt idx="87">
                  <c:v>2455</c:v>
                </c:pt>
                <c:pt idx="88">
                  <c:v>1791</c:v>
                </c:pt>
                <c:pt idx="89">
                  <c:v>2104</c:v>
                </c:pt>
                <c:pt idx="90">
                  <c:v>2280</c:v>
                </c:pt>
                <c:pt idx="91">
                  <c:v>2244</c:v>
                </c:pt>
              </c:numCache>
            </c:numRef>
          </c:val>
          <c:smooth val="0"/>
          <c:extLst>
            <c:ext xmlns:c16="http://schemas.microsoft.com/office/drawing/2014/chart" uri="{C3380CC4-5D6E-409C-BE32-E72D297353CC}">
              <c16:uniqueId val="{00000001-597F-4985-B3DB-0839BDA19F03}"/>
            </c:ext>
          </c:extLst>
        </c:ser>
        <c:dLbls>
          <c:showLegendKey val="0"/>
          <c:showVal val="0"/>
          <c:showCatName val="0"/>
          <c:showSerName val="0"/>
          <c:showPercent val="0"/>
          <c:showBubbleSize val="0"/>
        </c:dLbls>
        <c:smooth val="0"/>
        <c:axId val="53910304"/>
        <c:axId val="602576416"/>
      </c:lineChart>
      <c:catAx>
        <c:axId val="5391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576416"/>
        <c:crosses val="autoZero"/>
        <c:auto val="1"/>
        <c:lblAlgn val="ctr"/>
        <c:lblOffset val="100"/>
        <c:noMultiLvlLbl val="0"/>
      </c:catAx>
      <c:valAx>
        <c:axId val="602576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1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95250</xdr:colOff>
      <xdr:row>1</xdr:row>
      <xdr:rowOff>31750</xdr:rowOff>
    </xdr:from>
    <xdr:to>
      <xdr:col>12</xdr:col>
      <xdr:colOff>400050</xdr:colOff>
      <xdr:row>16</xdr:row>
      <xdr:rowOff>12700</xdr:rowOff>
    </xdr:to>
    <xdr:graphicFrame macro="">
      <xdr:nvGraphicFramePr>
        <xdr:cNvPr id="2" name="Chart 1">
          <a:extLst>
            <a:ext uri="{FF2B5EF4-FFF2-40B4-BE49-F238E27FC236}">
              <a16:creationId xmlns:a16="http://schemas.microsoft.com/office/drawing/2014/main" id="{92E235FD-E41D-597E-F371-BAB30067B4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596900</xdr:colOff>
      <xdr:row>17</xdr:row>
      <xdr:rowOff>165100</xdr:rowOff>
    </xdr:from>
    <xdr:to>
      <xdr:col>7</xdr:col>
      <xdr:colOff>596900</xdr:colOff>
      <xdr:row>32</xdr:row>
      <xdr:rowOff>22222</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C1DD1F11-33C9-0A1D-728B-3E7F83A6592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256316" y="3496788"/>
              <a:ext cx="1830779" cy="25785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31750</xdr:colOff>
      <xdr:row>18</xdr:row>
      <xdr:rowOff>19050</xdr:rowOff>
    </xdr:from>
    <xdr:to>
      <xdr:col>13</xdr:col>
      <xdr:colOff>31750</xdr:colOff>
      <xdr:row>32</xdr:row>
      <xdr:rowOff>60322</xdr:rowOff>
    </xdr:to>
    <mc:AlternateContent xmlns:mc="http://schemas.openxmlformats.org/markup-compatibility/2006" xmlns:a14="http://schemas.microsoft.com/office/drawing/2010/main">
      <mc:Choice Requires="a14">
        <xdr:graphicFrame macro="">
          <xdr:nvGraphicFramePr>
            <xdr:cNvPr id="4" name="Device">
              <a:extLst>
                <a:ext uri="{FF2B5EF4-FFF2-40B4-BE49-F238E27FC236}">
                  <a16:creationId xmlns:a16="http://schemas.microsoft.com/office/drawing/2014/main" id="{AF8F8135-3474-7790-879A-6C268C4B68AB}"/>
                </a:ext>
              </a:extLst>
            </xdr:cNvPr>
            <xdr:cNvGraphicFramePr/>
          </xdr:nvGraphicFramePr>
          <xdr:xfrm>
            <a:off x="0" y="0"/>
            <a:ext cx="0" cy="0"/>
          </xdr:xfrm>
          <a:graphic>
            <a:graphicData uri="http://schemas.microsoft.com/office/drawing/2010/slicer">
              <sle:slicer xmlns:sle="http://schemas.microsoft.com/office/drawing/2010/slicer" name="Device"/>
            </a:graphicData>
          </a:graphic>
        </xdr:graphicFrame>
      </mc:Choice>
      <mc:Fallback xmlns="">
        <xdr:sp macro="" textlink="">
          <xdr:nvSpPr>
            <xdr:cNvPr id="0" name=""/>
            <xdr:cNvSpPr>
              <a:spLocks noTextEdit="1"/>
            </xdr:cNvSpPr>
          </xdr:nvSpPr>
          <xdr:spPr>
            <a:xfrm>
              <a:off x="8352724" y="3532167"/>
              <a:ext cx="1830779" cy="25812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EST" refreshedDate="46266.478870023151" createdVersion="8" refreshedVersion="8" minRefreshableVersion="3" recordCount="920" xr:uid="{F2489A50-5C6B-415D-BB87-21C733CCA2F6}">
  <cacheSource type="worksheet">
    <worksheetSource name="nexalink"/>
  </cacheSource>
  <cacheFields count="11">
    <cacheField name="Date" numFmtId="22">
      <sharedItems containsSemiMixedTypes="0" containsNonDate="0" containsDate="1" containsString="0" minDate="2023-06-01T00:00:00" maxDate="2023-09-01T00:00:00" count="92">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sharedItems>
      <fieldGroup par="10"/>
    </cacheField>
    <cacheField name="Region" numFmtId="0">
      <sharedItems count="5">
        <s v="US"/>
        <s v="Canada"/>
        <s v="EMEA"/>
        <s v="LATAM"/>
        <s v="APAC"/>
      </sharedItems>
    </cacheField>
    <cacheField name="Device" numFmtId="0">
      <sharedItems count="2">
        <s v="Android"/>
        <s v="IOS"/>
      </sharedItems>
    </cacheField>
    <cacheField name="Total_App_Installs" numFmtId="0">
      <sharedItems containsSemiMixedTypes="0" containsString="0" containsNumber="1" containsInteger="1" minValue="700" maxValue="17737"/>
    </cacheField>
    <cacheField name="User_Sign_Ups" numFmtId="0">
      <sharedItems containsSemiMixedTypes="0" containsString="0" containsNumber="1" containsInteger="1" minValue="291" maxValue="15676"/>
    </cacheField>
    <cacheField name="Daily_Active_Users" numFmtId="0">
      <sharedItems containsSemiMixedTypes="0" containsString="0" containsNumber="1" containsInteger="1" minValue="553" maxValue="10024"/>
    </cacheField>
    <cacheField name="Uninstalls" numFmtId="0">
      <sharedItems containsSemiMixedTypes="0" containsString="0" containsNumber="1" containsInteger="1" minValue="9" maxValue="181"/>
    </cacheField>
    <cacheField name="Number_of_App_Crashes" numFmtId="0">
      <sharedItems containsSemiMixedTypes="0" containsString="0" containsNumber="1" containsInteger="1" minValue="30" maxValue="829"/>
    </cacheField>
    <cacheField name="Avg_Time_Spent_per_User_min" numFmtId="0">
      <sharedItems containsSemiMixedTypes="0" containsString="0" containsNumber="1" minValue="15.11" maxValue="179.93"/>
    </cacheField>
    <cacheField name="Num_Transactions" numFmtId="0">
      <sharedItems containsSemiMixedTypes="0" containsString="0" containsNumber="1" containsInteger="1" minValue="53" maxValue="5601"/>
    </cacheField>
    <cacheField name="Days (Date)" numFmtId="0" databaseField="0">
      <fieldGroup base="0">
        <rangePr groupBy="days" startDate="2023-06-01T00:00:00" endDate="2023-09-01T00:00:00"/>
        <groupItems count="368">
          <s v="&lt;01/06/2023"/>
          <s v="01-janv"/>
          <s v="02-janv"/>
          <s v="03-janv"/>
          <s v="04-janv"/>
          <s v="05-janv"/>
          <s v="06-janv"/>
          <s v="07-janv"/>
          <s v="08-janv"/>
          <s v="09-janv"/>
          <s v="10-janv"/>
          <s v="11-janv"/>
          <s v="12-janv"/>
          <s v="13-janv"/>
          <s v="14-janv"/>
          <s v="15-janv"/>
          <s v="16-janv"/>
          <s v="17-janv"/>
          <s v="18-janv"/>
          <s v="19-janv"/>
          <s v="20-janv"/>
          <s v="21-janv"/>
          <s v="22-janv"/>
          <s v="23-janv"/>
          <s v="24-janv"/>
          <s v="25-janv"/>
          <s v="26-janv"/>
          <s v="27-janv"/>
          <s v="28-janv"/>
          <s v="29-janv"/>
          <s v="30-janv"/>
          <s v="31-janv"/>
          <s v="01-févr"/>
          <s v="02-févr"/>
          <s v="03-févr"/>
          <s v="04-févr"/>
          <s v="05-févr"/>
          <s v="06-févr"/>
          <s v="07-févr"/>
          <s v="08-févr"/>
          <s v="09-févr"/>
          <s v="10-févr"/>
          <s v="11-févr"/>
          <s v="12-févr"/>
          <s v="13-févr"/>
          <s v="14-févr"/>
          <s v="15-févr"/>
          <s v="16-févr"/>
          <s v="17-févr"/>
          <s v="18-févr"/>
          <s v="19-févr"/>
          <s v="20-févr"/>
          <s v="21-févr"/>
          <s v="22-févr"/>
          <s v="23-févr"/>
          <s v="24-févr"/>
          <s v="25-févr"/>
          <s v="26-févr"/>
          <s v="27-févr"/>
          <s v="28-févr"/>
          <s v="29-févr"/>
          <s v="01-mars"/>
          <s v="02-mars"/>
          <s v="03-mars"/>
          <s v="04-mars"/>
          <s v="05-mars"/>
          <s v="06-mars"/>
          <s v="07-mars"/>
          <s v="08-mars"/>
          <s v="09-mars"/>
          <s v="10-mars"/>
          <s v="11-mars"/>
          <s v="12-mars"/>
          <s v="13-mars"/>
          <s v="14-mars"/>
          <s v="15-mars"/>
          <s v="16-mars"/>
          <s v="17-mars"/>
          <s v="18-mars"/>
          <s v="19-mars"/>
          <s v="20-mars"/>
          <s v="21-mars"/>
          <s v="22-mars"/>
          <s v="23-mars"/>
          <s v="24-mars"/>
          <s v="25-mars"/>
          <s v="26-mars"/>
          <s v="27-mars"/>
          <s v="28-mars"/>
          <s v="29-mars"/>
          <s v="30-mars"/>
          <s v="31-mars"/>
          <s v="01-avr"/>
          <s v="02-avr"/>
          <s v="03-avr"/>
          <s v="04-avr"/>
          <s v="05-avr"/>
          <s v="06-avr"/>
          <s v="07-avr"/>
          <s v="08-avr"/>
          <s v="09-avr"/>
          <s v="10-avr"/>
          <s v="11-avr"/>
          <s v="12-avr"/>
          <s v="13-avr"/>
          <s v="14-avr"/>
          <s v="15-avr"/>
          <s v="16-avr"/>
          <s v="17-avr"/>
          <s v="18-avr"/>
          <s v="19-avr"/>
          <s v="20-avr"/>
          <s v="21-avr"/>
          <s v="22-avr"/>
          <s v="23-avr"/>
          <s v="24-avr"/>
          <s v="25-avr"/>
          <s v="26-avr"/>
          <s v="27-avr"/>
          <s v="28-avr"/>
          <s v="29-avr"/>
          <s v="30-avr"/>
          <s v="01-mai"/>
          <s v="02-mai"/>
          <s v="03-mai"/>
          <s v="04-mai"/>
          <s v="05-mai"/>
          <s v="06-mai"/>
          <s v="07-mai"/>
          <s v="08-mai"/>
          <s v="09-mai"/>
          <s v="10-mai"/>
          <s v="11-mai"/>
          <s v="12-mai"/>
          <s v="13-mai"/>
          <s v="14-mai"/>
          <s v="15-mai"/>
          <s v="16-mai"/>
          <s v="17-mai"/>
          <s v="18-mai"/>
          <s v="19-mai"/>
          <s v="20-mai"/>
          <s v="21-mai"/>
          <s v="22-mai"/>
          <s v="23-mai"/>
          <s v="24-mai"/>
          <s v="25-mai"/>
          <s v="26-mai"/>
          <s v="27-mai"/>
          <s v="28-mai"/>
          <s v="29-mai"/>
          <s v="30-mai"/>
          <s v="31-mai"/>
          <s v="01-juin"/>
          <s v="02-juin"/>
          <s v="03-juin"/>
          <s v="04-juin"/>
          <s v="05-juin"/>
          <s v="06-juin"/>
          <s v="07-juin"/>
          <s v="08-juin"/>
          <s v="09-juin"/>
          <s v="10-juin"/>
          <s v="11-juin"/>
          <s v="12-juin"/>
          <s v="13-juin"/>
          <s v="14-juin"/>
          <s v="15-juin"/>
          <s v="16-juin"/>
          <s v="17-juin"/>
          <s v="18-juin"/>
          <s v="19-juin"/>
          <s v="20-juin"/>
          <s v="21-juin"/>
          <s v="22-juin"/>
          <s v="23-juin"/>
          <s v="24-juin"/>
          <s v="25-juin"/>
          <s v="26-juin"/>
          <s v="27-juin"/>
          <s v="28-juin"/>
          <s v="29-juin"/>
          <s v="30-juin"/>
          <s v="01-juil"/>
          <s v="02-juil"/>
          <s v="03-juil"/>
          <s v="04-juil"/>
          <s v="05-juil"/>
          <s v="06-juil"/>
          <s v="07-juil"/>
          <s v="08-juil"/>
          <s v="09-juil"/>
          <s v="10-juil"/>
          <s v="11-juil"/>
          <s v="12-juil"/>
          <s v="13-juil"/>
          <s v="14-juil"/>
          <s v="15-juil"/>
          <s v="16-juil"/>
          <s v="17-juil"/>
          <s v="18-juil"/>
          <s v="19-juil"/>
          <s v="20-juil"/>
          <s v="21-juil"/>
          <s v="22-juil"/>
          <s v="23-juil"/>
          <s v="24-juil"/>
          <s v="25-juil"/>
          <s v="26-juil"/>
          <s v="27-juil"/>
          <s v="28-juil"/>
          <s v="29-juil"/>
          <s v="30-juil"/>
          <s v="31-juil"/>
          <s v="01-août"/>
          <s v="02-août"/>
          <s v="03-août"/>
          <s v="04-août"/>
          <s v="05-août"/>
          <s v="06-août"/>
          <s v="07-août"/>
          <s v="08-août"/>
          <s v="09-août"/>
          <s v="10-août"/>
          <s v="11-août"/>
          <s v="12-août"/>
          <s v="13-août"/>
          <s v="14-août"/>
          <s v="15-août"/>
          <s v="16-août"/>
          <s v="17-août"/>
          <s v="18-août"/>
          <s v="19-août"/>
          <s v="20-août"/>
          <s v="21-août"/>
          <s v="22-août"/>
          <s v="23-août"/>
          <s v="24-août"/>
          <s v="25-août"/>
          <s v="26-août"/>
          <s v="27-août"/>
          <s v="28-août"/>
          <s v="29-août"/>
          <s v="30-août"/>
          <s v="31-août"/>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éc"/>
          <s v="02-déc"/>
          <s v="03-déc"/>
          <s v="04-déc"/>
          <s v="05-déc"/>
          <s v="06-déc"/>
          <s v="07-déc"/>
          <s v="08-déc"/>
          <s v="09-déc"/>
          <s v="10-déc"/>
          <s v="11-déc"/>
          <s v="12-déc"/>
          <s v="13-déc"/>
          <s v="14-déc"/>
          <s v="15-déc"/>
          <s v="16-déc"/>
          <s v="17-déc"/>
          <s v="18-déc"/>
          <s v="19-déc"/>
          <s v="20-déc"/>
          <s v="21-déc"/>
          <s v="22-déc"/>
          <s v="23-déc"/>
          <s v="24-déc"/>
          <s v="25-déc"/>
          <s v="26-déc"/>
          <s v="27-déc"/>
          <s v="28-déc"/>
          <s v="29-déc"/>
          <s v="30-déc"/>
          <s v="31-déc"/>
          <s v="&gt;01/09/2023"/>
        </groupItems>
      </fieldGroup>
    </cacheField>
  </cacheFields>
  <extLst>
    <ext xmlns:x14="http://schemas.microsoft.com/office/spreadsheetml/2009/9/main" uri="{725AE2AE-9491-48be-B2B4-4EB974FC3084}">
      <x14:pivotCacheDefinition pivotCacheId="4544226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0">
  <r>
    <x v="0"/>
    <x v="0"/>
    <x v="0"/>
    <n v="9043"/>
    <n v="8983"/>
    <n v="1896"/>
    <n v="64"/>
    <n v="157"/>
    <n v="24.58"/>
    <n v="3352"/>
  </r>
  <r>
    <x v="0"/>
    <x v="0"/>
    <x v="1"/>
    <n v="9654"/>
    <n v="5597"/>
    <n v="1772"/>
    <n v="37"/>
    <n v="147"/>
    <n v="15.13"/>
    <n v="1878"/>
  </r>
  <r>
    <x v="0"/>
    <x v="1"/>
    <x v="0"/>
    <n v="6031"/>
    <n v="2244"/>
    <n v="2758"/>
    <n v="19"/>
    <n v="219"/>
    <n v="80.98"/>
    <n v="1364"/>
  </r>
  <r>
    <x v="0"/>
    <x v="1"/>
    <x v="1"/>
    <n v="2819"/>
    <n v="1269"/>
    <n v="1231"/>
    <n v="12"/>
    <n v="312"/>
    <n v="177.23"/>
    <n v="804"/>
  </r>
  <r>
    <x v="0"/>
    <x v="2"/>
    <x v="0"/>
    <n v="3917"/>
    <n v="1071"/>
    <n v="1375"/>
    <n v="13"/>
    <n v="150"/>
    <n v="107.94"/>
    <n v="53"/>
  </r>
  <r>
    <x v="0"/>
    <x v="2"/>
    <x v="1"/>
    <n v="6093"/>
    <n v="2798"/>
    <n v="3079"/>
    <n v="17"/>
    <n v="129"/>
    <n v="20.67"/>
    <n v="1533"/>
  </r>
  <r>
    <x v="0"/>
    <x v="3"/>
    <x v="0"/>
    <n v="5862"/>
    <n v="3057"/>
    <n v="3087"/>
    <n v="22"/>
    <n v="122"/>
    <n v="45.5"/>
    <n v="1517"/>
  </r>
  <r>
    <x v="0"/>
    <x v="3"/>
    <x v="1"/>
    <n v="3598"/>
    <n v="3045"/>
    <n v="1506"/>
    <n v="31"/>
    <n v="115"/>
    <n v="29.6"/>
    <n v="1080"/>
  </r>
  <r>
    <x v="0"/>
    <x v="4"/>
    <x v="0"/>
    <n v="3194"/>
    <n v="6269"/>
    <n v="5641"/>
    <n v="102"/>
    <n v="145"/>
    <n v="73.86"/>
    <n v="3589"/>
  </r>
  <r>
    <x v="0"/>
    <x v="4"/>
    <x v="1"/>
    <n v="3944"/>
    <n v="2670"/>
    <n v="1534"/>
    <n v="22"/>
    <n v="129"/>
    <n v="142.41999999999999"/>
    <n v="574"/>
  </r>
  <r>
    <x v="1"/>
    <x v="0"/>
    <x v="0"/>
    <n v="6324"/>
    <n v="2853"/>
    <n v="2274"/>
    <n v="15"/>
    <n v="186"/>
    <n v="27.22"/>
    <n v="1410"/>
  </r>
  <r>
    <x v="1"/>
    <x v="0"/>
    <x v="1"/>
    <n v="9282"/>
    <n v="6579"/>
    <n v="5152"/>
    <n v="103"/>
    <n v="119"/>
    <n v="68.66"/>
    <n v="2587"/>
  </r>
  <r>
    <x v="1"/>
    <x v="1"/>
    <x v="0"/>
    <n v="8660"/>
    <n v="7762"/>
    <n v="5461"/>
    <n v="64"/>
    <n v="128"/>
    <n v="140.53"/>
    <n v="2579"/>
  </r>
  <r>
    <x v="1"/>
    <x v="1"/>
    <x v="1"/>
    <n v="4954"/>
    <n v="2030"/>
    <n v="1546"/>
    <n v="16"/>
    <n v="122"/>
    <n v="32.799999999999997"/>
    <n v="958"/>
  </r>
  <r>
    <x v="1"/>
    <x v="2"/>
    <x v="0"/>
    <n v="3518"/>
    <n v="2456"/>
    <n v="1592"/>
    <n v="21"/>
    <n v="92"/>
    <n v="104.07"/>
    <n v="1128"/>
  </r>
  <r>
    <x v="1"/>
    <x v="2"/>
    <x v="1"/>
    <n v="3854"/>
    <n v="1560"/>
    <n v="1491"/>
    <n v="9"/>
    <n v="82"/>
    <n v="63.78"/>
    <n v="556"/>
  </r>
  <r>
    <x v="1"/>
    <x v="3"/>
    <x v="0"/>
    <n v="4876"/>
    <n v="4229"/>
    <n v="1736"/>
    <n v="61"/>
    <n v="87"/>
    <n v="73.790000000000006"/>
    <n v="1218"/>
  </r>
  <r>
    <x v="1"/>
    <x v="3"/>
    <x v="1"/>
    <n v="3086"/>
    <n v="985"/>
    <n v="1321"/>
    <n v="41"/>
    <n v="118"/>
    <n v="42.17"/>
    <n v="883"/>
  </r>
  <r>
    <x v="1"/>
    <x v="4"/>
    <x v="0"/>
    <n v="6318"/>
    <n v="3415"/>
    <n v="2123"/>
    <n v="26"/>
    <n v="157"/>
    <n v="51.1"/>
    <n v="959"/>
  </r>
  <r>
    <x v="1"/>
    <x v="4"/>
    <x v="1"/>
    <n v="2598"/>
    <n v="1938"/>
    <n v="1537"/>
    <n v="18"/>
    <n v="131"/>
    <n v="132.52000000000001"/>
    <n v="1127"/>
  </r>
  <r>
    <x v="2"/>
    <x v="0"/>
    <x v="0"/>
    <n v="5972"/>
    <n v="2658"/>
    <n v="2884"/>
    <n v="14"/>
    <n v="135"/>
    <n v="164.86"/>
    <n v="1517"/>
  </r>
  <r>
    <x v="2"/>
    <x v="0"/>
    <x v="1"/>
    <n v="700"/>
    <n v="7300"/>
    <n v="4343"/>
    <n v="82"/>
    <n v="136"/>
    <n v="75.989999999999995"/>
    <n v="2383"/>
  </r>
  <r>
    <x v="2"/>
    <x v="1"/>
    <x v="0"/>
    <n v="6613"/>
    <n v="8112"/>
    <n v="5197"/>
    <n v="75"/>
    <n v="71"/>
    <n v="146.72999999999999"/>
    <n v="3041"/>
  </r>
  <r>
    <x v="2"/>
    <x v="1"/>
    <x v="1"/>
    <n v="6586"/>
    <n v="3101"/>
    <n v="2056"/>
    <n v="22"/>
    <n v="66"/>
    <n v="99.5"/>
    <n v="1164"/>
  </r>
  <r>
    <x v="2"/>
    <x v="2"/>
    <x v="0"/>
    <n v="8003"/>
    <n v="3929"/>
    <n v="4659"/>
    <n v="24"/>
    <n v="55"/>
    <n v="37.69"/>
    <n v="2231"/>
  </r>
  <r>
    <x v="2"/>
    <x v="2"/>
    <x v="1"/>
    <n v="5262"/>
    <n v="4048"/>
    <n v="2433"/>
    <n v="30"/>
    <n v="59"/>
    <n v="149.84"/>
    <n v="1492"/>
  </r>
  <r>
    <x v="2"/>
    <x v="3"/>
    <x v="0"/>
    <n v="4262"/>
    <n v="2608"/>
    <n v="2553"/>
    <n v="21"/>
    <n v="56"/>
    <n v="119.46"/>
    <n v="1875"/>
  </r>
  <r>
    <x v="2"/>
    <x v="3"/>
    <x v="1"/>
    <n v="3050"/>
    <n v="1344"/>
    <n v="1689"/>
    <n v="18"/>
    <n v="50"/>
    <n v="120.94"/>
    <n v="1158"/>
  </r>
  <r>
    <x v="2"/>
    <x v="4"/>
    <x v="0"/>
    <n v="5724"/>
    <n v="9798"/>
    <n v="5370"/>
    <n v="139"/>
    <n v="64"/>
    <n v="175.65"/>
    <n v="3014"/>
  </r>
  <r>
    <x v="2"/>
    <x v="4"/>
    <x v="1"/>
    <n v="3184"/>
    <n v="1133"/>
    <n v="1616"/>
    <n v="13"/>
    <n v="61"/>
    <n v="17.98"/>
    <n v="959"/>
  </r>
  <r>
    <x v="3"/>
    <x v="0"/>
    <x v="0"/>
    <n v="8544"/>
    <n v="4052"/>
    <n v="4228"/>
    <n v="55"/>
    <n v="54"/>
    <n v="104.52"/>
    <n v="2884"/>
  </r>
  <r>
    <x v="3"/>
    <x v="0"/>
    <x v="1"/>
    <n v="8488"/>
    <n v="4284"/>
    <n v="3168"/>
    <n v="35"/>
    <n v="44"/>
    <n v="119.14"/>
    <n v="2337"/>
  </r>
  <r>
    <x v="3"/>
    <x v="1"/>
    <x v="0"/>
    <n v="3135"/>
    <n v="1542"/>
    <n v="1570"/>
    <n v="19"/>
    <n v="30"/>
    <n v="61.33"/>
    <n v="1081"/>
  </r>
  <r>
    <x v="3"/>
    <x v="1"/>
    <x v="1"/>
    <n v="3857"/>
    <n v="3060"/>
    <n v="2308"/>
    <n v="17"/>
    <n v="78"/>
    <n v="76.08"/>
    <n v="1180"/>
  </r>
  <r>
    <x v="3"/>
    <x v="2"/>
    <x v="0"/>
    <n v="4434"/>
    <n v="10590"/>
    <n v="5326"/>
    <n v="94"/>
    <n v="126"/>
    <n v="63.58"/>
    <n v="2969"/>
  </r>
  <r>
    <x v="3"/>
    <x v="2"/>
    <x v="1"/>
    <n v="2392"/>
    <n v="902"/>
    <n v="1066"/>
    <n v="40"/>
    <n v="112"/>
    <n v="129.84"/>
    <n v="98"/>
  </r>
  <r>
    <x v="3"/>
    <x v="3"/>
    <x v="0"/>
    <n v="2069"/>
    <n v="601"/>
    <n v="1037"/>
    <n v="37"/>
    <n v="121"/>
    <n v="68.22"/>
    <n v="78"/>
  </r>
  <r>
    <x v="3"/>
    <x v="3"/>
    <x v="1"/>
    <n v="3273"/>
    <n v="2428"/>
    <n v="1335"/>
    <n v="32"/>
    <n v="118"/>
    <n v="57.27"/>
    <n v="577"/>
  </r>
  <r>
    <x v="3"/>
    <x v="4"/>
    <x v="0"/>
    <n v="9388"/>
    <n v="8426"/>
    <n v="4229"/>
    <n v="92"/>
    <n v="160"/>
    <n v="23.38"/>
    <n v="2788"/>
  </r>
  <r>
    <x v="3"/>
    <x v="4"/>
    <x v="1"/>
    <n v="4401"/>
    <n v="2127"/>
    <n v="1444"/>
    <n v="20"/>
    <n v="96"/>
    <n v="40.58"/>
    <n v="809"/>
  </r>
  <r>
    <x v="4"/>
    <x v="0"/>
    <x v="0"/>
    <n v="7808"/>
    <n v="6609"/>
    <n v="4578"/>
    <n v="78"/>
    <n v="88"/>
    <n v="103.62"/>
    <n v="1450"/>
  </r>
  <r>
    <x v="4"/>
    <x v="0"/>
    <x v="1"/>
    <n v="9511"/>
    <n v="5859"/>
    <n v="3469"/>
    <n v="82"/>
    <n v="46"/>
    <n v="47.07"/>
    <n v="2013"/>
  </r>
  <r>
    <x v="4"/>
    <x v="1"/>
    <x v="0"/>
    <n v="5485"/>
    <n v="4079"/>
    <n v="1864"/>
    <n v="27"/>
    <n v="30"/>
    <n v="146.21"/>
    <n v="1372"/>
  </r>
  <r>
    <x v="4"/>
    <x v="1"/>
    <x v="1"/>
    <n v="2332"/>
    <n v="1287"/>
    <n v="875"/>
    <n v="18"/>
    <n v="42"/>
    <n v="129.84"/>
    <n v="135"/>
  </r>
  <r>
    <x v="4"/>
    <x v="2"/>
    <x v="0"/>
    <n v="8522"/>
    <n v="2402"/>
    <n v="3688"/>
    <n v="38"/>
    <n v="43"/>
    <n v="123.93"/>
    <n v="1504"/>
  </r>
  <r>
    <x v="4"/>
    <x v="2"/>
    <x v="1"/>
    <n v="7274"/>
    <n v="6746"/>
    <n v="3392"/>
    <n v="92"/>
    <n v="44"/>
    <n v="108.4"/>
    <n v="1951"/>
  </r>
  <r>
    <x v="4"/>
    <x v="3"/>
    <x v="0"/>
    <n v="2552"/>
    <n v="2004"/>
    <n v="854"/>
    <n v="10"/>
    <n v="50"/>
    <n v="176.62"/>
    <n v="174"/>
  </r>
  <r>
    <x v="4"/>
    <x v="3"/>
    <x v="1"/>
    <n v="3548"/>
    <n v="2063"/>
    <n v="1588"/>
    <n v="13"/>
    <n v="64"/>
    <n v="122.21"/>
    <n v="815"/>
  </r>
  <r>
    <x v="4"/>
    <x v="4"/>
    <x v="0"/>
    <n v="6529"/>
    <n v="4461"/>
    <n v="2047"/>
    <n v="55"/>
    <n v="117"/>
    <n v="156.32"/>
    <n v="959"/>
  </r>
  <r>
    <x v="4"/>
    <x v="4"/>
    <x v="1"/>
    <n v="5816"/>
    <n v="4260"/>
    <n v="3392"/>
    <n v="52"/>
    <n v="104"/>
    <n v="170.14"/>
    <n v="2459"/>
  </r>
  <r>
    <x v="5"/>
    <x v="0"/>
    <x v="0"/>
    <n v="6018"/>
    <n v="4378"/>
    <n v="2037"/>
    <n v="51"/>
    <n v="66"/>
    <n v="78.709999999999994"/>
    <n v="1355"/>
  </r>
  <r>
    <x v="5"/>
    <x v="0"/>
    <x v="1"/>
    <n v="6322"/>
    <n v="4482"/>
    <n v="2416"/>
    <n v="33"/>
    <n v="42"/>
    <n v="30.58"/>
    <n v="958"/>
  </r>
  <r>
    <x v="5"/>
    <x v="1"/>
    <x v="0"/>
    <n v="4249"/>
    <n v="2049"/>
    <n v="1766"/>
    <n v="26"/>
    <n v="128"/>
    <n v="61.51"/>
    <n v="1071"/>
  </r>
  <r>
    <x v="5"/>
    <x v="1"/>
    <x v="1"/>
    <n v="3307"/>
    <n v="2443"/>
    <n v="1921"/>
    <n v="22"/>
    <n v="139"/>
    <n v="105.42"/>
    <n v="610"/>
  </r>
  <r>
    <x v="5"/>
    <x v="2"/>
    <x v="0"/>
    <n v="6593"/>
    <n v="5145"/>
    <n v="3937"/>
    <n v="74"/>
    <n v="117"/>
    <n v="71.23"/>
    <n v="1912"/>
  </r>
  <r>
    <x v="5"/>
    <x v="2"/>
    <x v="1"/>
    <n v="4943"/>
    <n v="3186"/>
    <n v="2491"/>
    <n v="25"/>
    <n v="31"/>
    <n v="163.92"/>
    <n v="1577"/>
  </r>
  <r>
    <x v="5"/>
    <x v="3"/>
    <x v="0"/>
    <n v="5819"/>
    <n v="3477"/>
    <n v="2265"/>
    <n v="33"/>
    <n v="100"/>
    <n v="154.78"/>
    <n v="782"/>
  </r>
  <r>
    <x v="5"/>
    <x v="3"/>
    <x v="1"/>
    <n v="1872"/>
    <n v="880"/>
    <n v="1095"/>
    <n v="14"/>
    <n v="94"/>
    <n v="30.13"/>
    <n v="611"/>
  </r>
  <r>
    <x v="5"/>
    <x v="4"/>
    <x v="0"/>
    <n v="5695"/>
    <n v="2714"/>
    <n v="2994"/>
    <n v="35"/>
    <n v="125"/>
    <n v="168.6"/>
    <n v="1964"/>
  </r>
  <r>
    <x v="5"/>
    <x v="4"/>
    <x v="1"/>
    <n v="4122"/>
    <n v="1160"/>
    <n v="1783"/>
    <n v="13"/>
    <n v="98"/>
    <n v="174.83"/>
    <n v="1247"/>
  </r>
  <r>
    <x v="6"/>
    <x v="0"/>
    <x v="0"/>
    <n v="6017"/>
    <n v="9283"/>
    <n v="6076"/>
    <n v="140"/>
    <n v="89"/>
    <n v="150.61000000000001"/>
    <n v="2988"/>
  </r>
  <r>
    <x v="6"/>
    <x v="0"/>
    <x v="1"/>
    <n v="4609"/>
    <n v="1592"/>
    <n v="1705"/>
    <n v="17"/>
    <n v="53"/>
    <n v="149.11000000000001"/>
    <n v="957"/>
  </r>
  <r>
    <x v="6"/>
    <x v="1"/>
    <x v="0"/>
    <n v="8221"/>
    <n v="7345"/>
    <n v="3330"/>
    <n v="87"/>
    <n v="56"/>
    <n v="107.14"/>
    <n v="2060"/>
  </r>
  <r>
    <x v="6"/>
    <x v="1"/>
    <x v="1"/>
    <n v="3674"/>
    <n v="1540"/>
    <n v="1581"/>
    <n v="14"/>
    <n v="90"/>
    <n v="24.29"/>
    <n v="655"/>
  </r>
  <r>
    <x v="6"/>
    <x v="2"/>
    <x v="0"/>
    <n v="6971"/>
    <n v="5524"/>
    <n v="3648"/>
    <n v="81"/>
    <n v="35"/>
    <n v="93.82"/>
    <n v="2212"/>
  </r>
  <r>
    <x v="6"/>
    <x v="2"/>
    <x v="1"/>
    <n v="5030"/>
    <n v="4353"/>
    <n v="2963"/>
    <n v="33"/>
    <n v="33"/>
    <n v="68.239999999999995"/>
    <n v="905"/>
  </r>
  <r>
    <x v="6"/>
    <x v="3"/>
    <x v="0"/>
    <n v="2753"/>
    <n v="1706"/>
    <n v="2887"/>
    <n v="28"/>
    <n v="88"/>
    <n v="118.85"/>
    <n v="287"/>
  </r>
  <r>
    <x v="6"/>
    <x v="3"/>
    <x v="1"/>
    <n v="2129"/>
    <n v="962"/>
    <n v="1084"/>
    <n v="16"/>
    <n v="44"/>
    <n v="173.19"/>
    <n v="512"/>
  </r>
  <r>
    <x v="6"/>
    <x v="4"/>
    <x v="0"/>
    <n v="9614"/>
    <n v="8469"/>
    <n v="4673"/>
    <n v="87"/>
    <n v="113"/>
    <n v="79.06"/>
    <n v="1985"/>
  </r>
  <r>
    <x v="6"/>
    <x v="4"/>
    <x v="1"/>
    <n v="4993"/>
    <n v="3297"/>
    <n v="2958"/>
    <n v="19"/>
    <n v="98"/>
    <n v="61.16"/>
    <n v="2200"/>
  </r>
  <r>
    <x v="7"/>
    <x v="0"/>
    <x v="0"/>
    <n v="6019"/>
    <n v="8274"/>
    <n v="3494"/>
    <n v="107"/>
    <n v="33"/>
    <n v="83.75"/>
    <n v="2481"/>
  </r>
  <r>
    <x v="7"/>
    <x v="0"/>
    <x v="1"/>
    <n v="5882"/>
    <n v="4010"/>
    <n v="3411"/>
    <n v="40"/>
    <n v="131"/>
    <n v="82.86"/>
    <n v="2352"/>
  </r>
  <r>
    <x v="7"/>
    <x v="1"/>
    <x v="0"/>
    <n v="7597"/>
    <n v="8727"/>
    <n v="3657"/>
    <n v="144"/>
    <n v="53"/>
    <n v="151.81"/>
    <n v="2075"/>
  </r>
  <r>
    <x v="7"/>
    <x v="1"/>
    <x v="1"/>
    <n v="3914"/>
    <n v="3301"/>
    <n v="1661"/>
    <n v="34"/>
    <n v="84"/>
    <n v="129.13"/>
    <n v="703"/>
  </r>
  <r>
    <x v="7"/>
    <x v="2"/>
    <x v="0"/>
    <n v="9569"/>
    <n v="9184"/>
    <n v="4465"/>
    <n v="153"/>
    <n v="109"/>
    <n v="55.81"/>
    <n v="2885"/>
  </r>
  <r>
    <x v="7"/>
    <x v="2"/>
    <x v="1"/>
    <n v="4898"/>
    <n v="1898"/>
    <n v="1873"/>
    <n v="15"/>
    <n v="31"/>
    <n v="22.74"/>
    <n v="737"/>
  </r>
  <r>
    <x v="7"/>
    <x v="3"/>
    <x v="0"/>
    <n v="5829"/>
    <n v="1875"/>
    <n v="2659"/>
    <n v="24"/>
    <n v="110"/>
    <n v="149.69999999999999"/>
    <n v="1721"/>
  </r>
  <r>
    <x v="7"/>
    <x v="3"/>
    <x v="1"/>
    <n v="2685"/>
    <n v="1729"/>
    <n v="1131"/>
    <n v="26"/>
    <n v="61"/>
    <n v="144.47"/>
    <n v="207"/>
  </r>
  <r>
    <x v="7"/>
    <x v="4"/>
    <x v="0"/>
    <n v="4304"/>
    <n v="7696"/>
    <n v="3513"/>
    <n v="58"/>
    <n v="118"/>
    <n v="120.05"/>
    <n v="1077"/>
  </r>
  <r>
    <x v="7"/>
    <x v="4"/>
    <x v="1"/>
    <n v="5820"/>
    <n v="3230"/>
    <n v="2354"/>
    <n v="50"/>
    <n v="52"/>
    <n v="117.64"/>
    <n v="1251"/>
  </r>
  <r>
    <x v="8"/>
    <x v="0"/>
    <x v="0"/>
    <n v="7457"/>
    <n v="8504"/>
    <n v="5016"/>
    <n v="122"/>
    <n v="79"/>
    <n v="90.76"/>
    <n v="3405"/>
  </r>
  <r>
    <x v="8"/>
    <x v="0"/>
    <x v="1"/>
    <n v="9471"/>
    <n v="6506"/>
    <n v="3435"/>
    <n v="59"/>
    <n v="126"/>
    <n v="36.270000000000003"/>
    <n v="1927"/>
  </r>
  <r>
    <x v="8"/>
    <x v="1"/>
    <x v="0"/>
    <n v="7410"/>
    <n v="4898"/>
    <n v="3774"/>
    <n v="47"/>
    <n v="46"/>
    <n v="162.97"/>
    <n v="1438"/>
  </r>
  <r>
    <x v="8"/>
    <x v="1"/>
    <x v="1"/>
    <n v="3306"/>
    <n v="2020"/>
    <n v="1589"/>
    <n v="33"/>
    <n v="76"/>
    <n v="72.36"/>
    <n v="637"/>
  </r>
  <r>
    <x v="8"/>
    <x v="2"/>
    <x v="0"/>
    <n v="7006"/>
    <n v="2128"/>
    <n v="3070"/>
    <n v="14"/>
    <n v="106"/>
    <n v="69.47"/>
    <n v="1206"/>
  </r>
  <r>
    <x v="8"/>
    <x v="2"/>
    <x v="1"/>
    <n v="4896"/>
    <n v="1500"/>
    <n v="2479"/>
    <n v="16"/>
    <n v="59"/>
    <n v="25.08"/>
    <n v="1314"/>
  </r>
  <r>
    <x v="8"/>
    <x v="3"/>
    <x v="0"/>
    <n v="5501"/>
    <n v="4759"/>
    <n v="2636"/>
    <n v="28"/>
    <n v="93"/>
    <n v="94.95"/>
    <n v="1961"/>
  </r>
  <r>
    <x v="8"/>
    <x v="3"/>
    <x v="1"/>
    <n v="3552"/>
    <n v="2796"/>
    <n v="1833"/>
    <n v="31"/>
    <n v="94"/>
    <n v="132.69999999999999"/>
    <n v="601"/>
  </r>
  <r>
    <x v="8"/>
    <x v="4"/>
    <x v="0"/>
    <n v="3988"/>
    <n v="3381"/>
    <n v="1233"/>
    <n v="46"/>
    <n v="30"/>
    <n v="55.01"/>
    <n v="851"/>
  </r>
  <r>
    <x v="8"/>
    <x v="4"/>
    <x v="1"/>
    <n v="5261"/>
    <n v="4056"/>
    <n v="2468"/>
    <n v="29"/>
    <n v="90"/>
    <n v="34.76"/>
    <n v="1674"/>
  </r>
  <r>
    <x v="9"/>
    <x v="0"/>
    <x v="0"/>
    <n v="5159"/>
    <n v="4946"/>
    <n v="4130"/>
    <n v="52"/>
    <n v="59"/>
    <n v="103.62"/>
    <n v="2445"/>
  </r>
  <r>
    <x v="9"/>
    <x v="0"/>
    <x v="1"/>
    <n v="6621"/>
    <n v="7456"/>
    <n v="5454"/>
    <n v="88"/>
    <n v="33"/>
    <n v="121.58"/>
    <n v="2566"/>
  </r>
  <r>
    <x v="9"/>
    <x v="1"/>
    <x v="0"/>
    <n v="4057"/>
    <n v="1687"/>
    <n v="1619"/>
    <n v="18"/>
    <n v="83"/>
    <n v="40.22"/>
    <n v="1166"/>
  </r>
  <r>
    <x v="9"/>
    <x v="1"/>
    <x v="1"/>
    <n v="4249"/>
    <n v="2512"/>
    <n v="1387"/>
    <n v="37"/>
    <n v="84"/>
    <n v="28.24"/>
    <n v="919"/>
  </r>
  <r>
    <x v="9"/>
    <x v="2"/>
    <x v="0"/>
    <n v="8060"/>
    <n v="2040"/>
    <n v="4830"/>
    <n v="27"/>
    <n v="104"/>
    <n v="157.81"/>
    <n v="3397"/>
  </r>
  <r>
    <x v="9"/>
    <x v="2"/>
    <x v="1"/>
    <n v="5535"/>
    <n v="5214"/>
    <n v="2861"/>
    <n v="56"/>
    <n v="121"/>
    <n v="109.32"/>
    <n v="1915"/>
  </r>
  <r>
    <x v="9"/>
    <x v="3"/>
    <x v="0"/>
    <n v="5624"/>
    <n v="4745"/>
    <n v="3320"/>
    <n v="35"/>
    <n v="71"/>
    <n v="55"/>
    <n v="2058"/>
  </r>
  <r>
    <x v="9"/>
    <x v="3"/>
    <x v="1"/>
    <n v="3569"/>
    <n v="2674"/>
    <n v="1164"/>
    <n v="37"/>
    <n v="86"/>
    <n v="102.88"/>
    <n v="614"/>
  </r>
  <r>
    <x v="9"/>
    <x v="4"/>
    <x v="0"/>
    <n v="5246"/>
    <n v="2653"/>
    <n v="2437"/>
    <n v="27"/>
    <n v="32"/>
    <n v="148.63"/>
    <n v="1333"/>
  </r>
  <r>
    <x v="9"/>
    <x v="4"/>
    <x v="1"/>
    <n v="5405"/>
    <n v="1837"/>
    <n v="1811"/>
    <n v="9"/>
    <n v="77"/>
    <n v="32.61"/>
    <n v="929"/>
  </r>
  <r>
    <x v="10"/>
    <x v="0"/>
    <x v="0"/>
    <n v="5944"/>
    <n v="4981"/>
    <n v="2005"/>
    <n v="81"/>
    <n v="32"/>
    <n v="77.569999999999993"/>
    <n v="1261"/>
  </r>
  <r>
    <x v="10"/>
    <x v="0"/>
    <x v="1"/>
    <n v="4536"/>
    <n v="3509"/>
    <n v="2506"/>
    <n v="41"/>
    <n v="44"/>
    <n v="146.91999999999999"/>
    <n v="909"/>
  </r>
  <r>
    <x v="10"/>
    <x v="1"/>
    <x v="0"/>
    <n v="8704"/>
    <n v="3118"/>
    <n v="4348"/>
    <n v="45"/>
    <n v="40"/>
    <n v="112.07"/>
    <n v="2328"/>
  </r>
  <r>
    <x v="10"/>
    <x v="1"/>
    <x v="1"/>
    <n v="6256"/>
    <n v="5180"/>
    <n v="2584"/>
    <n v="52"/>
    <n v="49"/>
    <n v="87.39"/>
    <n v="1313"/>
  </r>
  <r>
    <x v="10"/>
    <x v="2"/>
    <x v="0"/>
    <n v="8510"/>
    <n v="3465"/>
    <n v="3533"/>
    <n v="54"/>
    <n v="83"/>
    <n v="34.29"/>
    <n v="1924"/>
  </r>
  <r>
    <x v="10"/>
    <x v="2"/>
    <x v="1"/>
    <n v="4306"/>
    <n v="2065"/>
    <n v="2188"/>
    <n v="28"/>
    <n v="31"/>
    <n v="103.02"/>
    <n v="820"/>
  </r>
  <r>
    <x v="10"/>
    <x v="3"/>
    <x v="0"/>
    <n v="4334"/>
    <n v="2829"/>
    <n v="2278"/>
    <n v="47"/>
    <n v="116"/>
    <n v="20.53"/>
    <n v="1408"/>
  </r>
  <r>
    <x v="10"/>
    <x v="3"/>
    <x v="1"/>
    <n v="1529"/>
    <n v="1153"/>
    <n v="805"/>
    <n v="12"/>
    <n v="410"/>
    <n v="154.66"/>
    <n v="279"/>
  </r>
  <r>
    <x v="10"/>
    <x v="4"/>
    <x v="0"/>
    <n v="6815"/>
    <n v="4599"/>
    <n v="3148"/>
    <n v="50"/>
    <n v="33"/>
    <n v="133.81"/>
    <n v="1633"/>
  </r>
  <r>
    <x v="10"/>
    <x v="4"/>
    <x v="1"/>
    <n v="2038"/>
    <n v="1367"/>
    <n v="1049"/>
    <n v="16"/>
    <n v="141"/>
    <n v="164.89"/>
    <n v="597"/>
  </r>
  <r>
    <x v="11"/>
    <x v="0"/>
    <x v="0"/>
    <n v="14210"/>
    <n v="5736"/>
    <n v="5490"/>
    <n v="57"/>
    <n v="37"/>
    <n v="98.47"/>
    <n v="3166"/>
  </r>
  <r>
    <x v="11"/>
    <x v="0"/>
    <x v="1"/>
    <n v="3590"/>
    <n v="1523"/>
    <n v="1716"/>
    <n v="20"/>
    <n v="139"/>
    <n v="167.21"/>
    <n v="594"/>
  </r>
  <r>
    <x v="11"/>
    <x v="1"/>
    <x v="0"/>
    <n v="6575"/>
    <n v="4661"/>
    <n v="2711"/>
    <n v="65"/>
    <n v="35"/>
    <n v="153.66999999999999"/>
    <n v="897"/>
  </r>
  <r>
    <x v="11"/>
    <x v="1"/>
    <x v="1"/>
    <n v="7487"/>
    <n v="2459"/>
    <n v="2618"/>
    <n v="19"/>
    <n v="80"/>
    <n v="158.53"/>
    <n v="1005"/>
  </r>
  <r>
    <x v="11"/>
    <x v="2"/>
    <x v="0"/>
    <n v="5797"/>
    <n v="2340"/>
    <n v="2399"/>
    <n v="28"/>
    <n v="44"/>
    <n v="15.76"/>
    <n v="1523"/>
  </r>
  <r>
    <x v="11"/>
    <x v="2"/>
    <x v="1"/>
    <n v="7290"/>
    <n v="2349"/>
    <n v="4075"/>
    <n v="23"/>
    <n v="36"/>
    <n v="89.62"/>
    <n v="2915"/>
  </r>
  <r>
    <x v="11"/>
    <x v="3"/>
    <x v="0"/>
    <n v="5468"/>
    <n v="1441"/>
    <n v="2048"/>
    <n v="23"/>
    <n v="133"/>
    <n v="66.39"/>
    <n v="1146"/>
  </r>
  <r>
    <x v="11"/>
    <x v="3"/>
    <x v="1"/>
    <n v="1876"/>
    <n v="1234"/>
    <n v="570"/>
    <n v="15"/>
    <n v="472"/>
    <n v="90.73"/>
    <n v="341"/>
  </r>
  <r>
    <x v="11"/>
    <x v="4"/>
    <x v="0"/>
    <n v="5546"/>
    <n v="2987"/>
    <n v="3322"/>
    <n v="18"/>
    <n v="144"/>
    <n v="80.56"/>
    <n v="1747"/>
  </r>
  <r>
    <x v="11"/>
    <x v="4"/>
    <x v="1"/>
    <n v="2993"/>
    <n v="1170"/>
    <n v="1082"/>
    <n v="18"/>
    <n v="548"/>
    <n v="153.03"/>
    <n v="417"/>
  </r>
  <r>
    <x v="12"/>
    <x v="0"/>
    <x v="0"/>
    <n v="5967"/>
    <n v="3150"/>
    <n v="4782"/>
    <n v="44"/>
    <n v="38"/>
    <n v="97.01"/>
    <n v="2563"/>
  </r>
  <r>
    <x v="12"/>
    <x v="0"/>
    <x v="1"/>
    <n v="8483"/>
    <n v="2984"/>
    <n v="4738"/>
    <n v="21"/>
    <n v="56"/>
    <n v="101.89"/>
    <n v="3438"/>
  </r>
  <r>
    <x v="12"/>
    <x v="1"/>
    <x v="0"/>
    <n v="5354"/>
    <n v="2674"/>
    <n v="5330"/>
    <n v="18"/>
    <n v="42"/>
    <n v="56.89"/>
    <n v="3179"/>
  </r>
  <r>
    <x v="12"/>
    <x v="1"/>
    <x v="1"/>
    <n v="7718"/>
    <n v="5585"/>
    <n v="2556"/>
    <n v="29"/>
    <n v="78"/>
    <n v="106.86"/>
    <n v="1687"/>
  </r>
  <r>
    <x v="12"/>
    <x v="2"/>
    <x v="0"/>
    <n v="7145"/>
    <n v="3473"/>
    <n v="5758"/>
    <n v="27"/>
    <n v="32"/>
    <n v="38.28"/>
    <n v="3945"/>
  </r>
  <r>
    <x v="12"/>
    <x v="2"/>
    <x v="1"/>
    <n v="4002"/>
    <n v="1805"/>
    <n v="1216"/>
    <n v="28"/>
    <n v="543"/>
    <n v="35.26"/>
    <n v="412"/>
  </r>
  <r>
    <x v="12"/>
    <x v="3"/>
    <x v="0"/>
    <n v="4232"/>
    <n v="2792"/>
    <n v="2403"/>
    <n v="28"/>
    <n v="100"/>
    <n v="151.13999999999999"/>
    <n v="1605"/>
  </r>
  <r>
    <x v="12"/>
    <x v="3"/>
    <x v="1"/>
    <n v="3599"/>
    <n v="2393"/>
    <n v="1753"/>
    <n v="19"/>
    <n v="65"/>
    <n v="157.08000000000001"/>
    <n v="849"/>
  </r>
  <r>
    <x v="12"/>
    <x v="4"/>
    <x v="0"/>
    <n v="6592"/>
    <n v="6083"/>
    <n v="2254"/>
    <n v="85"/>
    <n v="38"/>
    <n v="146.97999999999999"/>
    <n v="1557"/>
  </r>
  <r>
    <x v="12"/>
    <x v="4"/>
    <x v="1"/>
    <n v="3107"/>
    <n v="1830"/>
    <n v="1624"/>
    <n v="20"/>
    <n v="120"/>
    <n v="37.99"/>
    <n v="998"/>
  </r>
  <r>
    <x v="13"/>
    <x v="0"/>
    <x v="0"/>
    <n v="6787"/>
    <n v="6439"/>
    <n v="2386"/>
    <n v="72"/>
    <n v="128"/>
    <n v="102.39"/>
    <n v="1008"/>
  </r>
  <r>
    <x v="13"/>
    <x v="0"/>
    <x v="1"/>
    <n v="9169"/>
    <n v="6006"/>
    <n v="4275"/>
    <n v="49"/>
    <n v="112"/>
    <n v="32.590000000000003"/>
    <n v="2535"/>
  </r>
  <r>
    <x v="13"/>
    <x v="1"/>
    <x v="0"/>
    <n v="3205"/>
    <n v="1084"/>
    <n v="1801"/>
    <n v="17"/>
    <n v="49"/>
    <n v="43.94"/>
    <n v="1025"/>
  </r>
  <r>
    <x v="13"/>
    <x v="1"/>
    <x v="1"/>
    <n v="5960"/>
    <n v="5027"/>
    <n v="3166"/>
    <n v="49"/>
    <n v="33"/>
    <n v="136.78"/>
    <n v="1551"/>
  </r>
  <r>
    <x v="13"/>
    <x v="2"/>
    <x v="0"/>
    <n v="4720"/>
    <n v="1439"/>
    <n v="1512"/>
    <n v="20"/>
    <n v="32"/>
    <n v="133.63999999999999"/>
    <n v="1023"/>
  </r>
  <r>
    <x v="13"/>
    <x v="2"/>
    <x v="1"/>
    <n v="6418"/>
    <n v="4361"/>
    <n v="2689"/>
    <n v="70"/>
    <n v="33"/>
    <n v="50.47"/>
    <n v="1961"/>
  </r>
  <r>
    <x v="13"/>
    <x v="3"/>
    <x v="0"/>
    <n v="3815"/>
    <n v="2398"/>
    <n v="2107"/>
    <n v="17"/>
    <n v="90"/>
    <n v="142.19999999999999"/>
    <n v="1435"/>
  </r>
  <r>
    <x v="13"/>
    <x v="3"/>
    <x v="1"/>
    <n v="1305"/>
    <n v="636"/>
    <n v="553"/>
    <n v="39"/>
    <n v="472"/>
    <n v="55.66"/>
    <n v="341"/>
  </r>
  <r>
    <x v="13"/>
    <x v="4"/>
    <x v="0"/>
    <n v="5451"/>
    <n v="3093"/>
    <n v="6169"/>
    <n v="15"/>
    <n v="120"/>
    <n v="30.11"/>
    <n v="1865"/>
  </r>
  <r>
    <x v="13"/>
    <x v="4"/>
    <x v="1"/>
    <n v="3636"/>
    <n v="3391"/>
    <n v="1844"/>
    <n v="48"/>
    <n v="72"/>
    <n v="159.04"/>
    <n v="986"/>
  </r>
  <r>
    <x v="14"/>
    <x v="0"/>
    <x v="0"/>
    <n v="9806"/>
    <n v="6863"/>
    <n v="5072"/>
    <n v="95"/>
    <n v="34"/>
    <n v="121.7"/>
    <n v="2976"/>
  </r>
  <r>
    <x v="14"/>
    <x v="0"/>
    <x v="1"/>
    <n v="6100"/>
    <n v="9606"/>
    <n v="3150"/>
    <n v="154"/>
    <n v="46"/>
    <n v="108.71"/>
    <n v="1945"/>
  </r>
  <r>
    <x v="14"/>
    <x v="1"/>
    <x v="0"/>
    <n v="6522"/>
    <n v="4895"/>
    <n v="5464"/>
    <n v="31"/>
    <n v="50"/>
    <n v="170.8"/>
    <n v="2113"/>
  </r>
  <r>
    <x v="14"/>
    <x v="1"/>
    <x v="1"/>
    <n v="4695"/>
    <n v="3645"/>
    <n v="2049"/>
    <n v="20"/>
    <n v="90"/>
    <n v="113.38"/>
    <n v="1097"/>
  </r>
  <r>
    <x v="14"/>
    <x v="2"/>
    <x v="0"/>
    <n v="7283"/>
    <n v="4687"/>
    <n v="4118"/>
    <n v="50"/>
    <n v="56"/>
    <n v="109.45"/>
    <n v="2218"/>
  </r>
  <r>
    <x v="14"/>
    <x v="2"/>
    <x v="1"/>
    <n v="6860"/>
    <n v="4311"/>
    <n v="2714"/>
    <n v="61"/>
    <n v="83"/>
    <n v="53.44"/>
    <n v="1579"/>
  </r>
  <r>
    <x v="14"/>
    <x v="3"/>
    <x v="0"/>
    <n v="4051"/>
    <n v="2319"/>
    <n v="1215"/>
    <n v="38"/>
    <n v="797"/>
    <n v="146.80000000000001"/>
    <n v="466"/>
  </r>
  <r>
    <x v="14"/>
    <x v="3"/>
    <x v="1"/>
    <n v="2441"/>
    <n v="602"/>
    <n v="797"/>
    <n v="41"/>
    <n v="584"/>
    <n v="159.16"/>
    <n v="253"/>
  </r>
  <r>
    <x v="14"/>
    <x v="4"/>
    <x v="0"/>
    <n v="8672"/>
    <n v="4568"/>
    <n v="3477"/>
    <n v="28"/>
    <n v="33"/>
    <n v="33.229999999999997"/>
    <n v="1860"/>
  </r>
  <r>
    <x v="14"/>
    <x v="4"/>
    <x v="1"/>
    <n v="2466"/>
    <n v="1119"/>
    <n v="1269"/>
    <n v="17"/>
    <n v="69"/>
    <n v="33.06"/>
    <n v="717"/>
  </r>
  <r>
    <x v="15"/>
    <x v="0"/>
    <x v="0"/>
    <n v="11750"/>
    <n v="8570"/>
    <n v="6874"/>
    <n v="65"/>
    <n v="53"/>
    <n v="177.08"/>
    <n v="4494"/>
  </r>
  <r>
    <x v="15"/>
    <x v="0"/>
    <x v="1"/>
    <n v="7492"/>
    <n v="6893"/>
    <n v="3626"/>
    <n v="72"/>
    <n v="95"/>
    <n v="81.260000000000005"/>
    <n v="1360"/>
  </r>
  <r>
    <x v="15"/>
    <x v="1"/>
    <x v="0"/>
    <n v="6257"/>
    <n v="4239"/>
    <n v="2310"/>
    <n v="46"/>
    <n v="41"/>
    <n v="172.95"/>
    <n v="876"/>
  </r>
  <r>
    <x v="15"/>
    <x v="1"/>
    <x v="1"/>
    <n v="7680"/>
    <n v="3779"/>
    <n v="4537"/>
    <n v="21"/>
    <n v="38"/>
    <n v="101.63"/>
    <n v="3165"/>
  </r>
  <r>
    <x v="15"/>
    <x v="2"/>
    <x v="0"/>
    <n v="9064"/>
    <n v="4761"/>
    <n v="4612"/>
    <n v="66"/>
    <n v="44"/>
    <n v="51.93"/>
    <n v="1703"/>
  </r>
  <r>
    <x v="15"/>
    <x v="2"/>
    <x v="1"/>
    <n v="6089"/>
    <n v="1614"/>
    <n v="3398"/>
    <n v="25"/>
    <n v="89"/>
    <n v="36.369999999999997"/>
    <n v="1719"/>
  </r>
  <r>
    <x v="15"/>
    <x v="3"/>
    <x v="0"/>
    <n v="1865"/>
    <n v="1731"/>
    <n v="1013"/>
    <n v="26"/>
    <n v="98"/>
    <n v="82.39"/>
    <n v="602"/>
  </r>
  <r>
    <x v="15"/>
    <x v="3"/>
    <x v="1"/>
    <n v="1195"/>
    <n v="291"/>
    <n v="1376"/>
    <n v="42"/>
    <n v="534"/>
    <n v="127.74"/>
    <n v="203"/>
  </r>
  <r>
    <x v="15"/>
    <x v="4"/>
    <x v="0"/>
    <n v="5422"/>
    <n v="5171"/>
    <n v="3062"/>
    <n v="30"/>
    <n v="51"/>
    <n v="72.39"/>
    <n v="1630"/>
  </r>
  <r>
    <x v="15"/>
    <x v="4"/>
    <x v="1"/>
    <n v="7671"/>
    <n v="4844"/>
    <n v="3990"/>
    <n v="73"/>
    <n v="76"/>
    <n v="155.35"/>
    <n v="2133"/>
  </r>
  <r>
    <x v="16"/>
    <x v="0"/>
    <x v="0"/>
    <n v="6034"/>
    <n v="2899"/>
    <n v="3493"/>
    <n v="23"/>
    <n v="52"/>
    <n v="41.17"/>
    <n v="1214"/>
  </r>
  <r>
    <x v="16"/>
    <x v="0"/>
    <x v="1"/>
    <n v="3334"/>
    <n v="2892"/>
    <n v="1826"/>
    <n v="15"/>
    <n v="31"/>
    <n v="164.94"/>
    <n v="654"/>
  </r>
  <r>
    <x v="16"/>
    <x v="1"/>
    <x v="0"/>
    <n v="9193"/>
    <n v="7620"/>
    <n v="4157"/>
    <n v="112"/>
    <n v="87"/>
    <n v="68.86"/>
    <n v="1259"/>
  </r>
  <r>
    <x v="16"/>
    <x v="1"/>
    <x v="1"/>
    <n v="7418"/>
    <n v="5154"/>
    <n v="3636"/>
    <n v="41"/>
    <n v="34"/>
    <n v="61.75"/>
    <n v="1974"/>
  </r>
  <r>
    <x v="16"/>
    <x v="2"/>
    <x v="0"/>
    <n v="10031"/>
    <n v="6316"/>
    <n v="4038"/>
    <n v="102"/>
    <n v="45"/>
    <n v="169.64"/>
    <n v="2361"/>
  </r>
  <r>
    <x v="16"/>
    <x v="2"/>
    <x v="1"/>
    <n v="2755"/>
    <n v="2190"/>
    <n v="964"/>
    <n v="35"/>
    <n v="37"/>
    <n v="72.069999999999993"/>
    <n v="624"/>
  </r>
  <r>
    <x v="16"/>
    <x v="3"/>
    <x v="0"/>
    <n v="2871"/>
    <n v="843"/>
    <n v="1714"/>
    <n v="13"/>
    <n v="105"/>
    <n v="36.46"/>
    <n v="1036"/>
  </r>
  <r>
    <x v="16"/>
    <x v="3"/>
    <x v="1"/>
    <n v="1486"/>
    <n v="767"/>
    <n v="2812"/>
    <n v="42"/>
    <n v="710"/>
    <n v="15.17"/>
    <n v="379"/>
  </r>
  <r>
    <x v="16"/>
    <x v="4"/>
    <x v="0"/>
    <n v="10047"/>
    <n v="4391"/>
    <n v="4299"/>
    <n v="73"/>
    <n v="57"/>
    <n v="151.28"/>
    <n v="2163"/>
  </r>
  <r>
    <x v="16"/>
    <x v="4"/>
    <x v="1"/>
    <n v="2439"/>
    <n v="973"/>
    <n v="1230"/>
    <n v="44"/>
    <n v="128"/>
    <n v="173.93"/>
    <n v="731"/>
  </r>
  <r>
    <x v="17"/>
    <x v="0"/>
    <x v="0"/>
    <n v="15033"/>
    <n v="8287"/>
    <n v="6403"/>
    <n v="133"/>
    <n v="87"/>
    <n v="66.47"/>
    <n v="3760"/>
  </r>
  <r>
    <x v="17"/>
    <x v="0"/>
    <x v="1"/>
    <n v="10714"/>
    <n v="9468"/>
    <n v="3899"/>
    <n v="73"/>
    <n v="67"/>
    <n v="107.85"/>
    <n v="1224"/>
  </r>
  <r>
    <x v="17"/>
    <x v="1"/>
    <x v="0"/>
    <n v="6981"/>
    <n v="4054"/>
    <n v="2483"/>
    <n v="66"/>
    <n v="107"/>
    <n v="89.86"/>
    <n v="1715"/>
  </r>
  <r>
    <x v="17"/>
    <x v="1"/>
    <x v="1"/>
    <n v="3453"/>
    <n v="2721"/>
    <n v="1172"/>
    <n v="33"/>
    <n v="700"/>
    <n v="45.6"/>
    <n v="369"/>
  </r>
  <r>
    <x v="17"/>
    <x v="2"/>
    <x v="0"/>
    <n v="3316"/>
    <n v="1945"/>
    <n v="1119"/>
    <n v="12"/>
    <n v="30"/>
    <n v="52.21"/>
    <n v="681"/>
  </r>
  <r>
    <x v="17"/>
    <x v="2"/>
    <x v="1"/>
    <n v="4840"/>
    <n v="1385"/>
    <n v="1842"/>
    <n v="16"/>
    <n v="122"/>
    <n v="39.68"/>
    <n v="1214"/>
  </r>
  <r>
    <x v="17"/>
    <x v="3"/>
    <x v="0"/>
    <n v="5116"/>
    <n v="1494"/>
    <n v="2271"/>
    <n v="14"/>
    <n v="120"/>
    <n v="139.91"/>
    <n v="1295"/>
  </r>
  <r>
    <x v="17"/>
    <x v="3"/>
    <x v="1"/>
    <n v="1409"/>
    <n v="1129"/>
    <n v="626"/>
    <n v="44"/>
    <n v="548"/>
    <n v="109.2"/>
    <n v="217"/>
  </r>
  <r>
    <x v="17"/>
    <x v="4"/>
    <x v="0"/>
    <n v="8270"/>
    <n v="4856"/>
    <n v="3339"/>
    <n v="36"/>
    <n v="54"/>
    <n v="100.42"/>
    <n v="2168"/>
  </r>
  <r>
    <x v="17"/>
    <x v="4"/>
    <x v="1"/>
    <n v="6416"/>
    <n v="5616"/>
    <n v="3512"/>
    <n v="33"/>
    <n v="106"/>
    <n v="108.64"/>
    <n v="1619"/>
  </r>
  <r>
    <x v="18"/>
    <x v="0"/>
    <x v="0"/>
    <n v="6038"/>
    <n v="4463"/>
    <n v="1886"/>
    <n v="65"/>
    <n v="75"/>
    <n v="131.57"/>
    <n v="1135"/>
  </r>
  <r>
    <x v="18"/>
    <x v="0"/>
    <x v="1"/>
    <n v="4155"/>
    <n v="2776"/>
    <n v="2010"/>
    <n v="34"/>
    <n v="51"/>
    <n v="132.82"/>
    <n v="873"/>
  </r>
  <r>
    <x v="18"/>
    <x v="1"/>
    <x v="0"/>
    <n v="5033"/>
    <n v="4047"/>
    <n v="2241"/>
    <n v="49"/>
    <n v="59"/>
    <n v="149.85"/>
    <n v="1339"/>
  </r>
  <r>
    <x v="18"/>
    <x v="1"/>
    <x v="1"/>
    <n v="5440"/>
    <n v="3189"/>
    <n v="1900"/>
    <n v="17"/>
    <n v="89"/>
    <n v="55.77"/>
    <n v="945"/>
  </r>
  <r>
    <x v="18"/>
    <x v="2"/>
    <x v="0"/>
    <n v="9689"/>
    <n v="5669"/>
    <n v="3863"/>
    <n v="69"/>
    <n v="38"/>
    <n v="145.30000000000001"/>
    <n v="1976"/>
  </r>
  <r>
    <x v="18"/>
    <x v="2"/>
    <x v="1"/>
    <n v="3916"/>
    <n v="1063"/>
    <n v="1199"/>
    <n v="45"/>
    <n v="140"/>
    <n v="175.84"/>
    <n v="712"/>
  </r>
  <r>
    <x v="18"/>
    <x v="3"/>
    <x v="0"/>
    <n v="4849"/>
    <n v="1860"/>
    <n v="1560"/>
    <n v="24"/>
    <n v="820"/>
    <n v="43.74"/>
    <n v="489"/>
  </r>
  <r>
    <x v="18"/>
    <x v="3"/>
    <x v="1"/>
    <n v="3807"/>
    <n v="2907"/>
    <n v="1628"/>
    <n v="40"/>
    <n v="48"/>
    <n v="98.3"/>
    <n v="742"/>
  </r>
  <r>
    <x v="18"/>
    <x v="4"/>
    <x v="0"/>
    <n v="4027"/>
    <n v="2457"/>
    <n v="1244"/>
    <n v="29"/>
    <n v="42"/>
    <n v="163.62"/>
    <n v="594"/>
  </r>
  <r>
    <x v="18"/>
    <x v="4"/>
    <x v="1"/>
    <n v="5996"/>
    <n v="4266"/>
    <n v="2309"/>
    <n v="71"/>
    <n v="94"/>
    <n v="119.21"/>
    <n v="1066"/>
  </r>
  <r>
    <x v="19"/>
    <x v="0"/>
    <x v="0"/>
    <n v="7162"/>
    <n v="2934"/>
    <n v="3020"/>
    <n v="41"/>
    <n v="102"/>
    <n v="175.28"/>
    <n v="1724"/>
  </r>
  <r>
    <x v="19"/>
    <x v="0"/>
    <x v="1"/>
    <n v="3224"/>
    <n v="1732"/>
    <n v="1390"/>
    <n v="10"/>
    <n v="809"/>
    <n v="99.94"/>
    <n v="478"/>
  </r>
  <r>
    <x v="19"/>
    <x v="1"/>
    <x v="0"/>
    <n v="5578"/>
    <n v="3302"/>
    <n v="5738"/>
    <n v="51"/>
    <n v="31"/>
    <n v="123.36"/>
    <n v="2527"/>
  </r>
  <r>
    <x v="19"/>
    <x v="1"/>
    <x v="1"/>
    <n v="6095"/>
    <n v="4045"/>
    <n v="2554"/>
    <n v="48"/>
    <n v="87"/>
    <n v="27.13"/>
    <n v="1038"/>
  </r>
  <r>
    <x v="19"/>
    <x v="2"/>
    <x v="0"/>
    <n v="3161"/>
    <n v="1511"/>
    <n v="1583"/>
    <n v="15"/>
    <n v="44"/>
    <n v="116.83"/>
    <n v="579"/>
  </r>
  <r>
    <x v="19"/>
    <x v="2"/>
    <x v="1"/>
    <n v="4662"/>
    <n v="1967"/>
    <n v="1929"/>
    <n v="18"/>
    <n v="121"/>
    <n v="93.31"/>
    <n v="1104"/>
  </r>
  <r>
    <x v="19"/>
    <x v="3"/>
    <x v="0"/>
    <n v="2570"/>
    <n v="1922"/>
    <n v="1437"/>
    <n v="20"/>
    <n v="141"/>
    <n v="177.8"/>
    <n v="792"/>
  </r>
  <r>
    <x v="19"/>
    <x v="3"/>
    <x v="1"/>
    <n v="1194"/>
    <n v="743"/>
    <n v="2714"/>
    <n v="12"/>
    <n v="463"/>
    <n v="29.61"/>
    <n v="132"/>
  </r>
  <r>
    <x v="19"/>
    <x v="4"/>
    <x v="0"/>
    <n v="6083"/>
    <n v="6708"/>
    <n v="3818"/>
    <n v="37"/>
    <n v="48"/>
    <n v="17.87"/>
    <n v="2841"/>
  </r>
  <r>
    <x v="19"/>
    <x v="4"/>
    <x v="1"/>
    <n v="7002"/>
    <n v="4902"/>
    <n v="3056"/>
    <n v="74"/>
    <n v="31"/>
    <n v="38.04"/>
    <n v="1626"/>
  </r>
  <r>
    <x v="20"/>
    <x v="0"/>
    <x v="0"/>
    <n v="7374"/>
    <n v="3481"/>
    <n v="6037"/>
    <n v="23"/>
    <n v="79"/>
    <n v="30.49"/>
    <n v="3802"/>
  </r>
  <r>
    <x v="20"/>
    <x v="0"/>
    <x v="1"/>
    <n v="8995"/>
    <n v="3169"/>
    <n v="5298"/>
    <n v="24"/>
    <n v="131"/>
    <n v="170.86"/>
    <n v="2198"/>
  </r>
  <r>
    <x v="20"/>
    <x v="1"/>
    <x v="0"/>
    <n v="6653"/>
    <n v="1680"/>
    <n v="3654"/>
    <n v="13"/>
    <n v="51"/>
    <n v="146.26"/>
    <n v="2518"/>
  </r>
  <r>
    <x v="20"/>
    <x v="1"/>
    <x v="1"/>
    <n v="7710"/>
    <n v="5605"/>
    <n v="3837"/>
    <n v="42"/>
    <n v="76"/>
    <n v="72.510000000000005"/>
    <n v="1831"/>
  </r>
  <r>
    <x v="20"/>
    <x v="2"/>
    <x v="0"/>
    <n v="5420"/>
    <n v="5201"/>
    <n v="3215"/>
    <n v="29"/>
    <n v="103"/>
    <n v="29.93"/>
    <n v="1553"/>
  </r>
  <r>
    <x v="20"/>
    <x v="2"/>
    <x v="1"/>
    <n v="3292"/>
    <n v="2540"/>
    <n v="1387"/>
    <n v="39"/>
    <n v="72"/>
    <n v="159.85"/>
    <n v="2620"/>
  </r>
  <r>
    <x v="20"/>
    <x v="3"/>
    <x v="0"/>
    <n v="4213"/>
    <n v="3646"/>
    <n v="3639"/>
    <n v="34"/>
    <n v="49"/>
    <n v="75.47"/>
    <n v="2970"/>
  </r>
  <r>
    <x v="20"/>
    <x v="3"/>
    <x v="1"/>
    <n v="1961"/>
    <n v="1266"/>
    <n v="1253"/>
    <n v="12"/>
    <n v="78"/>
    <n v="52.5"/>
    <n v="1518"/>
  </r>
  <r>
    <x v="20"/>
    <x v="4"/>
    <x v="0"/>
    <n v="11578"/>
    <n v="7672"/>
    <n v="5705"/>
    <n v="53"/>
    <n v="110"/>
    <n v="157.44999999999999"/>
    <n v="3661"/>
  </r>
  <r>
    <x v="20"/>
    <x v="4"/>
    <x v="1"/>
    <n v="3145"/>
    <n v="2673"/>
    <n v="1711"/>
    <n v="42"/>
    <n v="136"/>
    <n v="110.73"/>
    <n v="2597"/>
  </r>
  <r>
    <x v="21"/>
    <x v="0"/>
    <x v="0"/>
    <n v="7907"/>
    <n v="5693"/>
    <n v="6929"/>
    <n v="83"/>
    <n v="108"/>
    <n v="47.3"/>
    <n v="4407"/>
  </r>
  <r>
    <x v="21"/>
    <x v="0"/>
    <x v="1"/>
    <n v="8524"/>
    <n v="7548"/>
    <n v="4998"/>
    <n v="44"/>
    <n v="51"/>
    <n v="169.18"/>
    <n v="2972"/>
  </r>
  <r>
    <x v="21"/>
    <x v="1"/>
    <x v="0"/>
    <n v="7654"/>
    <n v="4049"/>
    <n v="5169"/>
    <n v="28"/>
    <n v="31"/>
    <n v="147.5"/>
    <n v="2768"/>
  </r>
  <r>
    <x v="21"/>
    <x v="1"/>
    <x v="1"/>
    <n v="7850"/>
    <n v="5168"/>
    <n v="4045"/>
    <n v="31"/>
    <n v="76"/>
    <n v="35.11"/>
    <n v="1942"/>
  </r>
  <r>
    <x v="21"/>
    <x v="2"/>
    <x v="0"/>
    <n v="5118"/>
    <n v="1682"/>
    <n v="2763"/>
    <n v="25"/>
    <n v="41"/>
    <n v="108.61"/>
    <n v="1059"/>
  </r>
  <r>
    <x v="21"/>
    <x v="2"/>
    <x v="1"/>
    <n v="4576"/>
    <n v="4122"/>
    <n v="1492"/>
    <n v="41"/>
    <n v="109"/>
    <n v="119.47"/>
    <n v="1996"/>
  </r>
  <r>
    <x v="21"/>
    <x v="3"/>
    <x v="0"/>
    <n v="4839"/>
    <n v="1170"/>
    <n v="2200"/>
    <n v="15"/>
    <n v="111"/>
    <n v="115.81"/>
    <n v="1247"/>
  </r>
  <r>
    <x v="21"/>
    <x v="3"/>
    <x v="1"/>
    <n v="3123"/>
    <n v="1561"/>
    <n v="1658"/>
    <n v="24"/>
    <n v="67"/>
    <n v="60.34"/>
    <n v="1913"/>
  </r>
  <r>
    <x v="21"/>
    <x v="4"/>
    <x v="0"/>
    <n v="7004"/>
    <n v="5973"/>
    <n v="3802"/>
    <n v="77"/>
    <n v="41"/>
    <n v="40.24"/>
    <n v="2452"/>
  </r>
  <r>
    <x v="21"/>
    <x v="4"/>
    <x v="1"/>
    <n v="5910"/>
    <n v="4554"/>
    <n v="2157"/>
    <n v="69"/>
    <n v="97"/>
    <n v="52.99"/>
    <n v="2740"/>
  </r>
  <r>
    <x v="22"/>
    <x v="0"/>
    <x v="0"/>
    <n v="7360"/>
    <n v="7197"/>
    <n v="4740"/>
    <n v="55"/>
    <n v="64"/>
    <n v="60.3"/>
    <n v="2690"/>
  </r>
  <r>
    <x v="22"/>
    <x v="0"/>
    <x v="1"/>
    <n v="5615"/>
    <n v="4157"/>
    <n v="2406"/>
    <n v="40"/>
    <n v="45"/>
    <n v="36.19"/>
    <n v="1498"/>
  </r>
  <r>
    <x v="22"/>
    <x v="1"/>
    <x v="0"/>
    <n v="5076"/>
    <n v="6795"/>
    <n v="5760"/>
    <n v="61"/>
    <n v="39"/>
    <n v="162.54"/>
    <n v="3731"/>
  </r>
  <r>
    <x v="22"/>
    <x v="1"/>
    <x v="1"/>
    <n v="7684"/>
    <n v="4064"/>
    <n v="3097"/>
    <n v="38"/>
    <n v="33"/>
    <n v="26.16"/>
    <n v="1789"/>
  </r>
  <r>
    <x v="22"/>
    <x v="2"/>
    <x v="0"/>
    <n v="9454"/>
    <n v="2745"/>
    <n v="3605"/>
    <n v="34"/>
    <n v="48"/>
    <n v="68.52"/>
    <n v="2043"/>
  </r>
  <r>
    <x v="22"/>
    <x v="2"/>
    <x v="1"/>
    <n v="4970"/>
    <n v="1874"/>
    <n v="2055"/>
    <n v="10"/>
    <n v="31"/>
    <n v="70.040000000000006"/>
    <n v="3952"/>
  </r>
  <r>
    <x v="22"/>
    <x v="3"/>
    <x v="0"/>
    <n v="1698"/>
    <n v="1095"/>
    <n v="941"/>
    <n v="18"/>
    <n v="697"/>
    <n v="82.56"/>
    <n v="3366"/>
  </r>
  <r>
    <x v="22"/>
    <x v="3"/>
    <x v="1"/>
    <n v="2363"/>
    <n v="1333"/>
    <n v="1297"/>
    <n v="18"/>
    <n v="49"/>
    <n v="78.12"/>
    <n v="3572"/>
  </r>
  <r>
    <x v="22"/>
    <x v="4"/>
    <x v="0"/>
    <n v="7468"/>
    <n v="3939"/>
    <n v="4464"/>
    <n v="27"/>
    <n v="132"/>
    <n v="125.81"/>
    <n v="3201"/>
  </r>
  <r>
    <x v="22"/>
    <x v="4"/>
    <x v="1"/>
    <n v="7358"/>
    <n v="5069"/>
    <n v="3875"/>
    <n v="31"/>
    <n v="55"/>
    <n v="41.29"/>
    <n v="1385"/>
  </r>
  <r>
    <x v="23"/>
    <x v="0"/>
    <x v="0"/>
    <n v="7173"/>
    <n v="3770"/>
    <n v="5371"/>
    <n v="32"/>
    <n v="63"/>
    <n v="106.38"/>
    <n v="2481"/>
  </r>
  <r>
    <x v="23"/>
    <x v="0"/>
    <x v="1"/>
    <n v="6577"/>
    <n v="5486"/>
    <n v="3833"/>
    <n v="45"/>
    <n v="145"/>
    <n v="178.71"/>
    <n v="2656"/>
  </r>
  <r>
    <x v="23"/>
    <x v="1"/>
    <x v="0"/>
    <n v="8061"/>
    <n v="3144"/>
    <n v="2700"/>
    <n v="50"/>
    <n v="38"/>
    <n v="102.86"/>
    <n v="1803"/>
  </r>
  <r>
    <x v="23"/>
    <x v="1"/>
    <x v="1"/>
    <n v="5052"/>
    <n v="4143"/>
    <n v="1977"/>
    <n v="59"/>
    <n v="66"/>
    <n v="40.380000000000003"/>
    <n v="665"/>
  </r>
  <r>
    <x v="23"/>
    <x v="2"/>
    <x v="0"/>
    <n v="4787"/>
    <n v="2341"/>
    <n v="2356"/>
    <n v="38"/>
    <n v="36"/>
    <n v="66.77"/>
    <n v="1579"/>
  </r>
  <r>
    <x v="23"/>
    <x v="2"/>
    <x v="1"/>
    <n v="5314"/>
    <n v="3139"/>
    <n v="2814"/>
    <n v="38"/>
    <n v="39"/>
    <n v="39.15"/>
    <n v="1065"/>
  </r>
  <r>
    <x v="23"/>
    <x v="3"/>
    <x v="0"/>
    <n v="2259"/>
    <n v="653"/>
    <n v="1111"/>
    <n v="41"/>
    <n v="116"/>
    <n v="35.14"/>
    <n v="564"/>
  </r>
  <r>
    <x v="23"/>
    <x v="3"/>
    <x v="1"/>
    <n v="3476"/>
    <n v="1614"/>
    <n v="1501"/>
    <n v="18"/>
    <n v="90"/>
    <n v="17.920000000000002"/>
    <n v="522"/>
  </r>
  <r>
    <x v="23"/>
    <x v="4"/>
    <x v="0"/>
    <n v="9836"/>
    <n v="6965"/>
    <n v="3132"/>
    <n v="47"/>
    <n v="137"/>
    <n v="94.96"/>
    <n v="2040"/>
  </r>
  <r>
    <x v="23"/>
    <x v="4"/>
    <x v="1"/>
    <n v="2276"/>
    <n v="641"/>
    <n v="1354"/>
    <n v="46"/>
    <n v="106"/>
    <n v="144.13999999999999"/>
    <n v="552"/>
  </r>
  <r>
    <x v="24"/>
    <x v="0"/>
    <x v="0"/>
    <n v="15081"/>
    <n v="4716"/>
    <n v="4806"/>
    <n v="62"/>
    <n v="67"/>
    <n v="53.39"/>
    <n v="2544"/>
  </r>
  <r>
    <x v="24"/>
    <x v="0"/>
    <x v="1"/>
    <n v="3842"/>
    <n v="1769"/>
    <n v="1760"/>
    <n v="22"/>
    <n v="129"/>
    <n v="81.790000000000006"/>
    <n v="865"/>
  </r>
  <r>
    <x v="24"/>
    <x v="1"/>
    <x v="0"/>
    <n v="3460"/>
    <n v="1315"/>
    <n v="1468"/>
    <n v="12"/>
    <n v="111"/>
    <n v="174.03"/>
    <n v="987"/>
  </r>
  <r>
    <x v="24"/>
    <x v="1"/>
    <x v="1"/>
    <n v="7398"/>
    <n v="3992"/>
    <n v="2262"/>
    <n v="42"/>
    <n v="33"/>
    <n v="46.3"/>
    <n v="943"/>
  </r>
  <r>
    <x v="24"/>
    <x v="2"/>
    <x v="0"/>
    <n v="8455"/>
    <n v="3339"/>
    <n v="3148"/>
    <n v="17"/>
    <n v="33"/>
    <n v="22.03"/>
    <n v="2327"/>
  </r>
  <r>
    <x v="24"/>
    <x v="2"/>
    <x v="1"/>
    <n v="5462"/>
    <n v="1742"/>
    <n v="2383"/>
    <n v="20"/>
    <n v="30"/>
    <n v="35.99"/>
    <n v="1620"/>
  </r>
  <r>
    <x v="24"/>
    <x v="3"/>
    <x v="0"/>
    <n v="4121"/>
    <n v="1952"/>
    <n v="1825"/>
    <n v="27"/>
    <n v="85"/>
    <n v="144.53"/>
    <n v="856"/>
  </r>
  <r>
    <x v="24"/>
    <x v="3"/>
    <x v="1"/>
    <n v="3127"/>
    <n v="1050"/>
    <n v="1556"/>
    <n v="44"/>
    <n v="59"/>
    <n v="57.02"/>
    <n v="1127"/>
  </r>
  <r>
    <x v="24"/>
    <x v="4"/>
    <x v="0"/>
    <n v="7306"/>
    <n v="6647"/>
    <n v="3904"/>
    <n v="53"/>
    <n v="44"/>
    <n v="162.69"/>
    <n v="2621"/>
  </r>
  <r>
    <x v="24"/>
    <x v="4"/>
    <x v="1"/>
    <n v="3899"/>
    <n v="3169"/>
    <n v="1261"/>
    <n v="58"/>
    <n v="74"/>
    <n v="127.24"/>
    <n v="879"/>
  </r>
  <r>
    <x v="25"/>
    <x v="0"/>
    <x v="0"/>
    <n v="8946"/>
    <n v="2391"/>
    <n v="4452"/>
    <n v="33"/>
    <n v="104"/>
    <n v="172.82"/>
    <n v="2943"/>
  </r>
  <r>
    <x v="25"/>
    <x v="0"/>
    <x v="1"/>
    <n v="6852"/>
    <n v="3556"/>
    <n v="4094"/>
    <n v="37"/>
    <n v="76"/>
    <n v="73.55"/>
    <n v="3016"/>
  </r>
  <r>
    <x v="25"/>
    <x v="1"/>
    <x v="0"/>
    <n v="9409"/>
    <n v="2924"/>
    <n v="4980"/>
    <n v="37"/>
    <n v="54"/>
    <n v="174.7"/>
    <n v="2088"/>
  </r>
  <r>
    <x v="25"/>
    <x v="1"/>
    <x v="1"/>
    <n v="2498"/>
    <n v="2007"/>
    <n v="1481"/>
    <n v="15"/>
    <n v="77"/>
    <n v="116.48"/>
    <n v="889"/>
  </r>
  <r>
    <x v="25"/>
    <x v="2"/>
    <x v="0"/>
    <n v="8883"/>
    <n v="2575"/>
    <n v="3939"/>
    <n v="42"/>
    <n v="32"/>
    <n v="63.32"/>
    <n v="2770"/>
  </r>
  <r>
    <x v="25"/>
    <x v="2"/>
    <x v="1"/>
    <n v="4243"/>
    <n v="1366"/>
    <n v="2444"/>
    <n v="15"/>
    <n v="130"/>
    <n v="36.14"/>
    <n v="1306"/>
  </r>
  <r>
    <x v="25"/>
    <x v="3"/>
    <x v="0"/>
    <n v="5421"/>
    <n v="1733"/>
    <n v="1781"/>
    <n v="21"/>
    <n v="64"/>
    <n v="170.61"/>
    <n v="836"/>
  </r>
  <r>
    <x v="25"/>
    <x v="3"/>
    <x v="1"/>
    <n v="1492"/>
    <n v="1355"/>
    <n v="1012"/>
    <n v="17"/>
    <n v="536"/>
    <n v="149.63"/>
    <n v="205"/>
  </r>
  <r>
    <x v="25"/>
    <x v="4"/>
    <x v="0"/>
    <n v="3023"/>
    <n v="2568"/>
    <n v="1136"/>
    <n v="40"/>
    <n v="32"/>
    <n v="138.44999999999999"/>
    <n v="726"/>
  </r>
  <r>
    <x v="25"/>
    <x v="4"/>
    <x v="1"/>
    <n v="4552"/>
    <n v="3637"/>
    <n v="1608"/>
    <n v="46"/>
    <n v="48"/>
    <n v="104.03"/>
    <n v="877"/>
  </r>
  <r>
    <x v="26"/>
    <x v="0"/>
    <x v="0"/>
    <n v="7683"/>
    <n v="2441"/>
    <n v="2517"/>
    <n v="32"/>
    <n v="34"/>
    <n v="71.489999999999995"/>
    <n v="1848"/>
  </r>
  <r>
    <x v="26"/>
    <x v="0"/>
    <x v="1"/>
    <n v="9310"/>
    <n v="5869"/>
    <n v="4213"/>
    <n v="70"/>
    <n v="77"/>
    <n v="159.1"/>
    <n v="1828"/>
  </r>
  <r>
    <x v="26"/>
    <x v="1"/>
    <x v="0"/>
    <n v="8698"/>
    <n v="6854"/>
    <n v="3814"/>
    <n v="47"/>
    <n v="43"/>
    <n v="160.44"/>
    <n v="1160"/>
  </r>
  <r>
    <x v="26"/>
    <x v="1"/>
    <x v="1"/>
    <n v="4408"/>
    <n v="1372"/>
    <n v="2380"/>
    <n v="13"/>
    <n v="39"/>
    <n v="149.49"/>
    <n v="933"/>
  </r>
  <r>
    <x v="26"/>
    <x v="2"/>
    <x v="0"/>
    <n v="5425"/>
    <n v="4288"/>
    <n v="6114"/>
    <n v="39"/>
    <n v="113"/>
    <n v="153.59"/>
    <n v="3359"/>
  </r>
  <r>
    <x v="26"/>
    <x v="2"/>
    <x v="1"/>
    <n v="3233"/>
    <n v="2512"/>
    <n v="1899"/>
    <n v="18"/>
    <n v="137"/>
    <n v="153.93"/>
    <n v="884"/>
  </r>
  <r>
    <x v="26"/>
    <x v="3"/>
    <x v="0"/>
    <n v="3057"/>
    <n v="2663"/>
    <n v="1255"/>
    <n v="44"/>
    <n v="74"/>
    <n v="50.84"/>
    <n v="630"/>
  </r>
  <r>
    <x v="26"/>
    <x v="3"/>
    <x v="1"/>
    <n v="2464"/>
    <n v="1286"/>
    <n v="1253"/>
    <n v="13"/>
    <n v="709"/>
    <n v="44.92"/>
    <n v="378"/>
  </r>
  <r>
    <x v="26"/>
    <x v="4"/>
    <x v="0"/>
    <n v="6022"/>
    <n v="1848"/>
    <n v="2675"/>
    <n v="22"/>
    <n v="34"/>
    <n v="52.2"/>
    <n v="1576"/>
  </r>
  <r>
    <x v="26"/>
    <x v="4"/>
    <x v="1"/>
    <n v="4657"/>
    <n v="2998"/>
    <n v="2342"/>
    <n v="36"/>
    <n v="64"/>
    <n v="68.150000000000006"/>
    <n v="1551"/>
  </r>
  <r>
    <x v="27"/>
    <x v="0"/>
    <x v="0"/>
    <n v="7551"/>
    <n v="2230"/>
    <n v="3022"/>
    <n v="13"/>
    <n v="82"/>
    <n v="100.35"/>
    <n v="1974"/>
  </r>
  <r>
    <x v="27"/>
    <x v="0"/>
    <x v="1"/>
    <n v="8174"/>
    <n v="4159"/>
    <n v="4256"/>
    <n v="27"/>
    <n v="127"/>
    <n v="113.71"/>
    <n v="1728"/>
  </r>
  <r>
    <x v="27"/>
    <x v="1"/>
    <x v="0"/>
    <n v="9601"/>
    <n v="7603"/>
    <n v="3743"/>
    <n v="103"/>
    <n v="30"/>
    <n v="144.63"/>
    <n v="1415"/>
  </r>
  <r>
    <x v="27"/>
    <x v="1"/>
    <x v="1"/>
    <n v="2804"/>
    <n v="2057"/>
    <n v="1470"/>
    <n v="34"/>
    <n v="34"/>
    <n v="45.44"/>
    <n v="930"/>
  </r>
  <r>
    <x v="27"/>
    <x v="2"/>
    <x v="0"/>
    <n v="2330"/>
    <n v="2711"/>
    <n v="5779"/>
    <n v="74"/>
    <n v="36"/>
    <n v="100.48"/>
    <n v="3257"/>
  </r>
  <r>
    <x v="27"/>
    <x v="2"/>
    <x v="1"/>
    <n v="2760"/>
    <n v="2217"/>
    <n v="1534"/>
    <n v="12"/>
    <n v="34"/>
    <n v="45.71"/>
    <n v="616"/>
  </r>
  <r>
    <x v="27"/>
    <x v="3"/>
    <x v="0"/>
    <n v="2129"/>
    <n v="1178"/>
    <n v="1089"/>
    <n v="19"/>
    <n v="65"/>
    <n v="96.92"/>
    <n v="636"/>
  </r>
  <r>
    <x v="27"/>
    <x v="3"/>
    <x v="1"/>
    <n v="3586"/>
    <n v="2875"/>
    <n v="1137"/>
    <n v="15"/>
    <n v="787"/>
    <n v="138.97999999999999"/>
    <n v="456"/>
  </r>
  <r>
    <x v="27"/>
    <x v="4"/>
    <x v="0"/>
    <n v="11385"/>
    <n v="6602"/>
    <n v="4381"/>
    <n v="34"/>
    <n v="50"/>
    <n v="55.75"/>
    <n v="1402"/>
  </r>
  <r>
    <x v="27"/>
    <x v="4"/>
    <x v="1"/>
    <n v="3316"/>
    <n v="2675"/>
    <n v="1364"/>
    <n v="44"/>
    <n v="68"/>
    <n v="25.79"/>
    <n v="673"/>
  </r>
  <r>
    <x v="28"/>
    <x v="0"/>
    <x v="0"/>
    <n v="3212"/>
    <n v="4702"/>
    <n v="8363"/>
    <n v="81"/>
    <n v="50"/>
    <n v="82.83"/>
    <n v="4624"/>
  </r>
  <r>
    <x v="28"/>
    <x v="0"/>
    <x v="1"/>
    <n v="3800"/>
    <n v="3700"/>
    <n v="4891"/>
    <n v="46"/>
    <n v="36"/>
    <n v="79.92"/>
    <n v="3588"/>
  </r>
  <r>
    <x v="28"/>
    <x v="1"/>
    <x v="0"/>
    <n v="5157"/>
    <n v="5500"/>
    <n v="5274"/>
    <n v="44"/>
    <n v="138"/>
    <n v="134.65"/>
    <n v="3911"/>
  </r>
  <r>
    <x v="28"/>
    <x v="1"/>
    <x v="1"/>
    <n v="5240"/>
    <n v="3390"/>
    <n v="3100"/>
    <n v="35"/>
    <n v="104"/>
    <n v="39.96"/>
    <n v="1779"/>
  </r>
  <r>
    <x v="28"/>
    <x v="2"/>
    <x v="0"/>
    <n v="7725"/>
    <n v="4178"/>
    <n v="3902"/>
    <n v="25"/>
    <n v="96"/>
    <n v="156.91999999999999"/>
    <n v="2128"/>
  </r>
  <r>
    <x v="28"/>
    <x v="2"/>
    <x v="1"/>
    <n v="4839"/>
    <n v="3051"/>
    <n v="2248"/>
    <n v="43"/>
    <n v="79"/>
    <n v="94.97"/>
    <n v="1295"/>
  </r>
  <r>
    <x v="28"/>
    <x v="3"/>
    <x v="0"/>
    <n v="5442"/>
    <n v="1858"/>
    <n v="1985"/>
    <n v="24"/>
    <n v="67"/>
    <n v="138.63"/>
    <n v="683"/>
  </r>
  <r>
    <x v="28"/>
    <x v="3"/>
    <x v="1"/>
    <n v="3575"/>
    <n v="1018"/>
    <n v="1937"/>
    <n v="11"/>
    <n v="84"/>
    <n v="97.05"/>
    <n v="982"/>
  </r>
  <r>
    <x v="28"/>
    <x v="4"/>
    <x v="0"/>
    <n v="9163"/>
    <n v="3905"/>
    <n v="3656"/>
    <n v="27"/>
    <n v="57"/>
    <n v="35.83"/>
    <n v="2342"/>
  </r>
  <r>
    <x v="28"/>
    <x v="4"/>
    <x v="1"/>
    <n v="7766"/>
    <n v="6781"/>
    <n v="2886"/>
    <n v="103"/>
    <n v="50"/>
    <n v="107.07"/>
    <n v="1452"/>
  </r>
  <r>
    <x v="29"/>
    <x v="0"/>
    <x v="0"/>
    <n v="6402"/>
    <n v="1836"/>
    <n v="3667"/>
    <n v="19"/>
    <n v="65"/>
    <n v="76.37"/>
    <n v="1989"/>
  </r>
  <r>
    <x v="29"/>
    <x v="0"/>
    <x v="1"/>
    <n v="9004"/>
    <n v="7490"/>
    <n v="4796"/>
    <n v="71"/>
    <n v="104"/>
    <n v="30.52"/>
    <n v="3520"/>
  </r>
  <r>
    <x v="29"/>
    <x v="1"/>
    <x v="0"/>
    <n v="4533"/>
    <n v="3676"/>
    <n v="2223"/>
    <n v="43"/>
    <n v="40"/>
    <n v="102.95"/>
    <n v="1465"/>
  </r>
  <r>
    <x v="29"/>
    <x v="1"/>
    <x v="1"/>
    <n v="7956"/>
    <n v="4473"/>
    <n v="2783"/>
    <n v="51"/>
    <n v="31"/>
    <n v="60.69"/>
    <n v="1603"/>
  </r>
  <r>
    <x v="29"/>
    <x v="2"/>
    <x v="0"/>
    <n v="5481"/>
    <n v="3316"/>
    <n v="1699"/>
    <n v="40"/>
    <n v="33"/>
    <n v="40.1"/>
    <n v="788"/>
  </r>
  <r>
    <x v="29"/>
    <x v="2"/>
    <x v="1"/>
    <n v="3923"/>
    <n v="2382"/>
    <n v="1628"/>
    <n v="39"/>
    <n v="38"/>
    <n v="174.58"/>
    <n v="575"/>
  </r>
  <r>
    <x v="29"/>
    <x v="3"/>
    <x v="0"/>
    <n v="4130"/>
    <n v="2434"/>
    <n v="2137"/>
    <n v="16"/>
    <n v="97"/>
    <n v="123.26"/>
    <n v="952"/>
  </r>
  <r>
    <x v="29"/>
    <x v="3"/>
    <x v="1"/>
    <n v="1742"/>
    <n v="1434"/>
    <n v="1140"/>
    <n v="58"/>
    <n v="829"/>
    <n v="77.540000000000006"/>
    <n v="498"/>
  </r>
  <r>
    <x v="29"/>
    <x v="4"/>
    <x v="0"/>
    <n v="3136"/>
    <n v="1175"/>
    <n v="1711"/>
    <n v="18"/>
    <n v="57"/>
    <n v="92.74"/>
    <n v="930"/>
  </r>
  <r>
    <x v="29"/>
    <x v="4"/>
    <x v="1"/>
    <n v="3196"/>
    <n v="2267"/>
    <n v="1203"/>
    <n v="20"/>
    <n v="31"/>
    <n v="43.67"/>
    <n v="804"/>
  </r>
  <r>
    <x v="30"/>
    <x v="0"/>
    <x v="0"/>
    <n v="7513"/>
    <n v="2414"/>
    <n v="3875"/>
    <n v="14"/>
    <n v="73"/>
    <n v="89.31"/>
    <n v="1895"/>
  </r>
  <r>
    <x v="30"/>
    <x v="0"/>
    <x v="1"/>
    <n v="6260"/>
    <n v="4268"/>
    <n v="2962"/>
    <n v="43"/>
    <n v="54"/>
    <n v="176.55"/>
    <n v="1872"/>
  </r>
  <r>
    <x v="30"/>
    <x v="1"/>
    <x v="0"/>
    <n v="8473"/>
    <n v="2223"/>
    <n v="2812"/>
    <n v="30"/>
    <n v="88"/>
    <n v="43.86"/>
    <n v="1242"/>
  </r>
  <r>
    <x v="30"/>
    <x v="1"/>
    <x v="1"/>
    <n v="4538"/>
    <n v="3229"/>
    <n v="1460"/>
    <n v="53"/>
    <n v="820"/>
    <n v="65.38"/>
    <n v="489"/>
  </r>
  <r>
    <x v="30"/>
    <x v="2"/>
    <x v="0"/>
    <n v="7415"/>
    <n v="2145"/>
    <n v="3133"/>
    <n v="30"/>
    <n v="83"/>
    <n v="148.22"/>
    <n v="2010"/>
  </r>
  <r>
    <x v="30"/>
    <x v="2"/>
    <x v="1"/>
    <n v="2715"/>
    <n v="1951"/>
    <n v="1553"/>
    <n v="16"/>
    <n v="76"/>
    <n v="79.31"/>
    <n v="935"/>
  </r>
  <r>
    <x v="30"/>
    <x v="3"/>
    <x v="0"/>
    <n v="3510"/>
    <n v="2006"/>
    <n v="1629"/>
    <n v="30"/>
    <n v="130"/>
    <n v="94.05"/>
    <n v="767"/>
  </r>
  <r>
    <x v="30"/>
    <x v="3"/>
    <x v="1"/>
    <n v="3019"/>
    <n v="816"/>
    <n v="1737"/>
    <n v="11"/>
    <n v="73"/>
    <n v="175.51"/>
    <n v="740"/>
  </r>
  <r>
    <x v="30"/>
    <x v="4"/>
    <x v="0"/>
    <n v="4768"/>
    <n v="3732"/>
    <n v="1456"/>
    <n v="54"/>
    <n v="42"/>
    <n v="118.66"/>
    <n v="1068"/>
  </r>
  <r>
    <x v="30"/>
    <x v="4"/>
    <x v="1"/>
    <n v="7168"/>
    <n v="3173"/>
    <n v="2392"/>
    <n v="48"/>
    <n v="31"/>
    <n v="22.61"/>
    <n v="1475"/>
  </r>
  <r>
    <x v="31"/>
    <x v="0"/>
    <x v="0"/>
    <n v="10634"/>
    <n v="6141"/>
    <n v="5099"/>
    <n v="52"/>
    <n v="58"/>
    <n v="113.8"/>
    <n v="2212"/>
  </r>
  <r>
    <x v="31"/>
    <x v="0"/>
    <x v="1"/>
    <n v="7955"/>
    <n v="6934"/>
    <n v="3175"/>
    <n v="106"/>
    <n v="42"/>
    <n v="28.03"/>
    <n v="1439"/>
  </r>
  <r>
    <x v="31"/>
    <x v="1"/>
    <x v="0"/>
    <n v="4514"/>
    <n v="3807"/>
    <n v="1935"/>
    <n v="32"/>
    <n v="42"/>
    <n v="123.71"/>
    <n v="814"/>
  </r>
  <r>
    <x v="31"/>
    <x v="1"/>
    <x v="1"/>
    <n v="7446"/>
    <n v="6244"/>
    <n v="2490"/>
    <n v="75"/>
    <n v="34"/>
    <n v="158.31"/>
    <n v="852"/>
  </r>
  <r>
    <x v="31"/>
    <x v="2"/>
    <x v="0"/>
    <n v="5746"/>
    <n v="5016"/>
    <n v="2616"/>
    <n v="58"/>
    <n v="105"/>
    <n v="91.63"/>
    <n v="1291"/>
  </r>
  <r>
    <x v="31"/>
    <x v="2"/>
    <x v="1"/>
    <n v="2210"/>
    <n v="1488"/>
    <n v="1299"/>
    <n v="23"/>
    <n v="30"/>
    <n v="145.15"/>
    <n v="549"/>
  </r>
  <r>
    <x v="31"/>
    <x v="3"/>
    <x v="0"/>
    <n v="5240"/>
    <n v="2153"/>
    <n v="1736"/>
    <n v="24"/>
    <n v="132"/>
    <n v="58.34"/>
    <n v="821"/>
  </r>
  <r>
    <x v="31"/>
    <x v="3"/>
    <x v="1"/>
    <n v="1401"/>
    <n v="942"/>
    <n v="1846"/>
    <n v="13"/>
    <n v="702"/>
    <n v="15.48"/>
    <n v="371"/>
  </r>
  <r>
    <x v="31"/>
    <x v="4"/>
    <x v="0"/>
    <n v="7030"/>
    <n v="4078"/>
    <n v="2404"/>
    <n v="23"/>
    <n v="115"/>
    <n v="93.04"/>
    <n v="1021"/>
  </r>
  <r>
    <x v="31"/>
    <x v="4"/>
    <x v="1"/>
    <n v="7262"/>
    <n v="2768"/>
    <n v="2790"/>
    <n v="34"/>
    <n v="59"/>
    <n v="16.260000000000002"/>
    <n v="1097"/>
  </r>
  <r>
    <x v="32"/>
    <x v="0"/>
    <x v="0"/>
    <n v="12965"/>
    <n v="10890"/>
    <n v="4997"/>
    <n v="162"/>
    <n v="52"/>
    <n v="99.59"/>
    <n v="2540"/>
  </r>
  <r>
    <x v="32"/>
    <x v="0"/>
    <x v="1"/>
    <n v="6289"/>
    <n v="1710"/>
    <n v="3428"/>
    <n v="14"/>
    <n v="45"/>
    <n v="71.959999999999994"/>
    <n v="1467"/>
  </r>
  <r>
    <x v="32"/>
    <x v="1"/>
    <x v="0"/>
    <n v="3109"/>
    <n v="2703"/>
    <n v="1588"/>
    <n v="29"/>
    <n v="87"/>
    <n v="42.26"/>
    <n v="1186"/>
  </r>
  <r>
    <x v="32"/>
    <x v="1"/>
    <x v="1"/>
    <n v="6572"/>
    <n v="3573"/>
    <n v="3761"/>
    <n v="35"/>
    <n v="136"/>
    <n v="63.96"/>
    <n v="2337"/>
  </r>
  <r>
    <x v="32"/>
    <x v="2"/>
    <x v="0"/>
    <n v="11962"/>
    <n v="11097"/>
    <n v="3594"/>
    <n v="162"/>
    <n v="38"/>
    <n v="21.69"/>
    <n v="2108"/>
  </r>
  <r>
    <x v="32"/>
    <x v="2"/>
    <x v="1"/>
    <n v="2750"/>
    <n v="2019"/>
    <n v="1142"/>
    <n v="13"/>
    <n v="98"/>
    <n v="113.39"/>
    <n v="577"/>
  </r>
  <r>
    <x v="32"/>
    <x v="3"/>
    <x v="0"/>
    <n v="1781"/>
    <n v="1390"/>
    <n v="1790"/>
    <n v="61"/>
    <n v="596"/>
    <n v="126.98"/>
    <n v="265"/>
  </r>
  <r>
    <x v="32"/>
    <x v="3"/>
    <x v="1"/>
    <n v="1499"/>
    <n v="1318"/>
    <n v="1889"/>
    <n v="16"/>
    <n v="576"/>
    <n v="159.16"/>
    <n v="245"/>
  </r>
  <r>
    <x v="32"/>
    <x v="4"/>
    <x v="0"/>
    <n v="4893"/>
    <n v="3421"/>
    <n v="2246"/>
    <n v="47"/>
    <n v="43"/>
    <n v="16.93"/>
    <n v="1512"/>
  </r>
  <r>
    <x v="32"/>
    <x v="4"/>
    <x v="1"/>
    <n v="6914"/>
    <n v="4310"/>
    <n v="2249"/>
    <n v="44"/>
    <n v="64"/>
    <n v="107.18"/>
    <n v="1079"/>
  </r>
  <r>
    <x v="33"/>
    <x v="0"/>
    <x v="0"/>
    <n v="8386"/>
    <n v="4830"/>
    <n v="2685"/>
    <n v="70"/>
    <n v="36"/>
    <n v="27.81"/>
    <n v="1274"/>
  </r>
  <r>
    <x v="33"/>
    <x v="0"/>
    <x v="1"/>
    <n v="4272"/>
    <n v="1967"/>
    <n v="1854"/>
    <n v="28"/>
    <n v="31"/>
    <n v="110.58"/>
    <n v="1222"/>
  </r>
  <r>
    <x v="33"/>
    <x v="1"/>
    <x v="0"/>
    <n v="6096"/>
    <n v="3354"/>
    <n v="2893"/>
    <n v="29"/>
    <n v="119"/>
    <n v="79.84"/>
    <n v="1351"/>
  </r>
  <r>
    <x v="33"/>
    <x v="1"/>
    <x v="1"/>
    <n v="6054"/>
    <n v="3085"/>
    <n v="2598"/>
    <n v="21"/>
    <n v="117"/>
    <n v="171.2"/>
    <n v="946"/>
  </r>
  <r>
    <x v="33"/>
    <x v="2"/>
    <x v="0"/>
    <n v="6544"/>
    <n v="1690"/>
    <n v="3213"/>
    <n v="21"/>
    <n v="135"/>
    <n v="113.34"/>
    <n v="1456"/>
  </r>
  <r>
    <x v="33"/>
    <x v="2"/>
    <x v="1"/>
    <n v="6448"/>
    <n v="4691"/>
    <n v="2640"/>
    <n v="57"/>
    <n v="34"/>
    <n v="32.369999999999997"/>
    <n v="1051"/>
  </r>
  <r>
    <x v="33"/>
    <x v="3"/>
    <x v="0"/>
    <n v="3223"/>
    <n v="1099"/>
    <n v="2207"/>
    <n v="12"/>
    <n v="108"/>
    <n v="31.38"/>
    <n v="524"/>
  </r>
  <r>
    <x v="33"/>
    <x v="3"/>
    <x v="1"/>
    <n v="2519"/>
    <n v="661"/>
    <n v="2090"/>
    <n v="59"/>
    <n v="603"/>
    <n v="95.5"/>
    <n v="272"/>
  </r>
  <r>
    <x v="33"/>
    <x v="4"/>
    <x v="0"/>
    <n v="5405"/>
    <n v="4800"/>
    <n v="3172"/>
    <n v="30"/>
    <n v="35"/>
    <n v="179.15"/>
    <n v="1400"/>
  </r>
  <r>
    <x v="33"/>
    <x v="4"/>
    <x v="1"/>
    <n v="4538"/>
    <n v="4304"/>
    <n v="2670"/>
    <n v="36"/>
    <n v="30"/>
    <n v="104.33"/>
    <n v="1269"/>
  </r>
  <r>
    <x v="34"/>
    <x v="0"/>
    <x v="0"/>
    <n v="7412"/>
    <n v="4329"/>
    <n v="2598"/>
    <n v="48"/>
    <n v="87"/>
    <n v="64.88"/>
    <n v="1068"/>
  </r>
  <r>
    <x v="34"/>
    <x v="0"/>
    <x v="1"/>
    <n v="3863"/>
    <n v="2899"/>
    <n v="1747"/>
    <n v="20"/>
    <n v="143"/>
    <n v="107.02"/>
    <n v="1057"/>
  </r>
  <r>
    <x v="34"/>
    <x v="1"/>
    <x v="0"/>
    <n v="8828"/>
    <n v="3169"/>
    <n v="5296"/>
    <n v="37"/>
    <n v="45"/>
    <n v="136.21"/>
    <n v="1947"/>
  </r>
  <r>
    <x v="34"/>
    <x v="1"/>
    <x v="1"/>
    <n v="5207"/>
    <n v="3587"/>
    <n v="2532"/>
    <n v="42"/>
    <n v="31"/>
    <n v="155.66999999999999"/>
    <n v="989"/>
  </r>
  <r>
    <x v="34"/>
    <x v="2"/>
    <x v="0"/>
    <n v="4596"/>
    <n v="2899"/>
    <n v="2708"/>
    <n v="22"/>
    <n v="33"/>
    <n v="90.65"/>
    <n v="1921"/>
  </r>
  <r>
    <x v="34"/>
    <x v="2"/>
    <x v="1"/>
    <n v="6194"/>
    <n v="2069"/>
    <n v="2090"/>
    <n v="29"/>
    <n v="58"/>
    <n v="20.69"/>
    <n v="1374"/>
  </r>
  <r>
    <x v="34"/>
    <x v="3"/>
    <x v="0"/>
    <n v="5668"/>
    <n v="1967"/>
    <n v="3368"/>
    <n v="20"/>
    <n v="85"/>
    <n v="76.930000000000007"/>
    <n v="1743"/>
  </r>
  <r>
    <x v="34"/>
    <x v="3"/>
    <x v="1"/>
    <n v="2454"/>
    <n v="1512"/>
    <n v="1061"/>
    <n v="17"/>
    <n v="68"/>
    <n v="134.74"/>
    <n v="607"/>
  </r>
  <r>
    <x v="34"/>
    <x v="4"/>
    <x v="0"/>
    <n v="6641"/>
    <n v="6283"/>
    <n v="3641"/>
    <n v="61"/>
    <n v="56"/>
    <n v="93.62"/>
    <n v="2345"/>
  </r>
  <r>
    <x v="34"/>
    <x v="4"/>
    <x v="1"/>
    <n v="6300"/>
    <n v="2007"/>
    <n v="2720"/>
    <n v="30"/>
    <n v="98"/>
    <n v="66.459999999999994"/>
    <n v="1853"/>
  </r>
  <r>
    <x v="35"/>
    <x v="0"/>
    <x v="0"/>
    <n v="9398"/>
    <n v="5289"/>
    <n v="4586"/>
    <n v="58"/>
    <n v="109"/>
    <n v="128.47"/>
    <n v="3287"/>
  </r>
  <r>
    <x v="35"/>
    <x v="0"/>
    <x v="1"/>
    <n v="5867"/>
    <n v="5091"/>
    <n v="2873"/>
    <n v="57"/>
    <n v="32"/>
    <n v="61"/>
    <n v="1695"/>
  </r>
  <r>
    <x v="35"/>
    <x v="1"/>
    <x v="0"/>
    <n v="3417"/>
    <n v="2120"/>
    <n v="2040"/>
    <n v="30"/>
    <n v="51"/>
    <n v="15.38"/>
    <n v="796"/>
  </r>
  <r>
    <x v="35"/>
    <x v="1"/>
    <x v="1"/>
    <n v="7146"/>
    <n v="5511"/>
    <n v="3731"/>
    <n v="81"/>
    <n v="39"/>
    <n v="150.62"/>
    <n v="1359"/>
  </r>
  <r>
    <x v="35"/>
    <x v="2"/>
    <x v="0"/>
    <n v="8035"/>
    <n v="6360"/>
    <n v="3890"/>
    <n v="95"/>
    <n v="58"/>
    <n v="128.41999999999999"/>
    <n v="1322"/>
  </r>
  <r>
    <x v="35"/>
    <x v="2"/>
    <x v="1"/>
    <n v="2806"/>
    <n v="806"/>
    <n v="2148"/>
    <n v="60"/>
    <n v="31"/>
    <n v="16"/>
    <n v="621"/>
  </r>
  <r>
    <x v="35"/>
    <x v="3"/>
    <x v="0"/>
    <n v="2139"/>
    <n v="1318"/>
    <n v="1904"/>
    <n v="11"/>
    <n v="694"/>
    <n v="93.91"/>
    <n v="363"/>
  </r>
  <r>
    <x v="35"/>
    <x v="3"/>
    <x v="1"/>
    <n v="2293"/>
    <n v="671"/>
    <n v="2104"/>
    <n v="59"/>
    <n v="691"/>
    <n v="63.26"/>
    <n v="360"/>
  </r>
  <r>
    <x v="35"/>
    <x v="4"/>
    <x v="0"/>
    <n v="5836"/>
    <n v="3102"/>
    <n v="2314"/>
    <n v="48"/>
    <n v="40"/>
    <n v="51.18"/>
    <n v="1190"/>
  </r>
  <r>
    <x v="35"/>
    <x v="4"/>
    <x v="1"/>
    <n v="3131"/>
    <n v="2112"/>
    <n v="1548"/>
    <n v="19"/>
    <n v="49"/>
    <n v="158.04"/>
    <n v="550"/>
  </r>
  <r>
    <x v="36"/>
    <x v="0"/>
    <x v="0"/>
    <n v="11017"/>
    <n v="7291"/>
    <n v="3542"/>
    <n v="89"/>
    <n v="70"/>
    <n v="150.72"/>
    <n v="2151"/>
  </r>
  <r>
    <x v="36"/>
    <x v="0"/>
    <x v="1"/>
    <n v="11846"/>
    <n v="5316"/>
    <n v="3980"/>
    <n v="61"/>
    <n v="67"/>
    <n v="96.95"/>
    <n v="2836"/>
  </r>
  <r>
    <x v="36"/>
    <x v="1"/>
    <x v="0"/>
    <n v="10342"/>
    <n v="9050"/>
    <n v="5342"/>
    <n v="132"/>
    <n v="41"/>
    <n v="99.34"/>
    <n v="2255"/>
  </r>
  <r>
    <x v="36"/>
    <x v="1"/>
    <x v="1"/>
    <n v="2724"/>
    <n v="1195"/>
    <n v="2081"/>
    <n v="16"/>
    <n v="88"/>
    <n v="170.17"/>
    <n v="588"/>
  </r>
  <r>
    <x v="36"/>
    <x v="2"/>
    <x v="0"/>
    <n v="6571"/>
    <n v="3073"/>
    <n v="2681"/>
    <n v="19"/>
    <n v="119"/>
    <n v="164.69"/>
    <n v="1131"/>
  </r>
  <r>
    <x v="36"/>
    <x v="2"/>
    <x v="1"/>
    <n v="5604"/>
    <n v="3095"/>
    <n v="2316"/>
    <n v="48"/>
    <n v="114"/>
    <n v="21.98"/>
    <n v="1699"/>
  </r>
  <r>
    <x v="36"/>
    <x v="3"/>
    <x v="0"/>
    <n v="2084"/>
    <n v="1082"/>
    <n v="1065"/>
    <n v="13"/>
    <n v="653"/>
    <n v="124.95"/>
    <n v="322"/>
  </r>
  <r>
    <x v="36"/>
    <x v="3"/>
    <x v="1"/>
    <n v="2824"/>
    <n v="1244"/>
    <n v="1420"/>
    <n v="61"/>
    <n v="88"/>
    <n v="144"/>
    <n v="1029"/>
  </r>
  <r>
    <x v="36"/>
    <x v="4"/>
    <x v="0"/>
    <n v="11378"/>
    <n v="10918"/>
    <n v="5115"/>
    <n v="68"/>
    <n v="54"/>
    <n v="90.52"/>
    <n v="2421"/>
  </r>
  <r>
    <x v="36"/>
    <x v="4"/>
    <x v="1"/>
    <n v="4311"/>
    <n v="3003"/>
    <n v="1297"/>
    <n v="42"/>
    <n v="113"/>
    <n v="150.66"/>
    <n v="890"/>
  </r>
  <r>
    <x v="37"/>
    <x v="0"/>
    <x v="0"/>
    <n v="13743"/>
    <n v="10419"/>
    <n v="7709"/>
    <n v="97"/>
    <n v="36"/>
    <n v="126.84"/>
    <n v="4847"/>
  </r>
  <r>
    <x v="37"/>
    <x v="0"/>
    <x v="1"/>
    <n v="8633"/>
    <n v="2295"/>
    <n v="5000"/>
    <n v="22"/>
    <n v="51"/>
    <n v="121.4"/>
    <n v="1783"/>
  </r>
  <r>
    <x v="37"/>
    <x v="1"/>
    <x v="0"/>
    <n v="4932"/>
    <n v="3606"/>
    <n v="2337"/>
    <n v="38"/>
    <n v="67"/>
    <n v="24.59"/>
    <n v="791"/>
  </r>
  <r>
    <x v="37"/>
    <x v="1"/>
    <x v="1"/>
    <n v="3685"/>
    <n v="2959"/>
    <n v="1216"/>
    <n v="34"/>
    <n v="80"/>
    <n v="70.66"/>
    <n v="741"/>
  </r>
  <r>
    <x v="37"/>
    <x v="2"/>
    <x v="0"/>
    <n v="9118"/>
    <n v="6845"/>
    <n v="2821"/>
    <n v="110"/>
    <n v="44"/>
    <n v="113.2"/>
    <n v="1781"/>
  </r>
  <r>
    <x v="37"/>
    <x v="2"/>
    <x v="1"/>
    <n v="5081"/>
    <n v="3871"/>
    <n v="1588"/>
    <n v="59"/>
    <n v="87"/>
    <n v="142.71"/>
    <n v="760"/>
  </r>
  <r>
    <x v="37"/>
    <x v="3"/>
    <x v="0"/>
    <n v="5085"/>
    <n v="2025"/>
    <n v="2833"/>
    <n v="13"/>
    <n v="82"/>
    <n v="148.18"/>
    <n v="1583"/>
  </r>
  <r>
    <x v="37"/>
    <x v="3"/>
    <x v="1"/>
    <n v="4978"/>
    <n v="3104"/>
    <n v="1190"/>
    <n v="31"/>
    <n v="42"/>
    <n v="72.44"/>
    <n v="540"/>
  </r>
  <r>
    <x v="37"/>
    <x v="4"/>
    <x v="0"/>
    <n v="5225"/>
    <n v="3401"/>
    <n v="2607"/>
    <n v="39"/>
    <n v="49"/>
    <n v="18.89"/>
    <n v="1425"/>
  </r>
  <r>
    <x v="37"/>
    <x v="4"/>
    <x v="1"/>
    <n v="3770"/>
    <n v="3157"/>
    <n v="1460"/>
    <n v="38"/>
    <n v="81"/>
    <n v="25.84"/>
    <n v="574"/>
  </r>
  <r>
    <x v="38"/>
    <x v="0"/>
    <x v="0"/>
    <n v="12312"/>
    <n v="11264"/>
    <n v="5442"/>
    <n v="136"/>
    <n v="93"/>
    <n v="173.04"/>
    <n v="1779"/>
  </r>
  <r>
    <x v="38"/>
    <x v="0"/>
    <x v="1"/>
    <n v="8150"/>
    <n v="3360"/>
    <n v="4037"/>
    <n v="38"/>
    <n v="45"/>
    <n v="75.34"/>
    <n v="2382"/>
  </r>
  <r>
    <x v="38"/>
    <x v="1"/>
    <x v="0"/>
    <n v="6414"/>
    <n v="4890"/>
    <n v="3648"/>
    <n v="60"/>
    <n v="53"/>
    <n v="39.25"/>
    <n v="2485"/>
  </r>
  <r>
    <x v="38"/>
    <x v="1"/>
    <x v="1"/>
    <n v="3506"/>
    <n v="2172"/>
    <n v="1224"/>
    <n v="34"/>
    <n v="110"/>
    <n v="166.39"/>
    <n v="721"/>
  </r>
  <r>
    <x v="38"/>
    <x v="2"/>
    <x v="0"/>
    <n v="3129"/>
    <n v="2384"/>
    <n v="2209"/>
    <n v="27"/>
    <n v="37"/>
    <n v="16.29"/>
    <n v="608"/>
  </r>
  <r>
    <x v="38"/>
    <x v="2"/>
    <x v="1"/>
    <n v="4376"/>
    <n v="1776"/>
    <n v="1858"/>
    <n v="10"/>
    <n v="129"/>
    <n v="97.6"/>
    <n v="810"/>
  </r>
  <r>
    <x v="38"/>
    <x v="3"/>
    <x v="0"/>
    <n v="3426"/>
    <n v="3196"/>
    <n v="1982"/>
    <n v="39"/>
    <n v="120"/>
    <n v="86.41"/>
    <n v="1273"/>
  </r>
  <r>
    <x v="38"/>
    <x v="3"/>
    <x v="1"/>
    <n v="1351"/>
    <n v="870"/>
    <n v="1814"/>
    <n v="13"/>
    <n v="754"/>
    <n v="176.9"/>
    <n v="423"/>
  </r>
  <r>
    <x v="38"/>
    <x v="4"/>
    <x v="0"/>
    <n v="9343"/>
    <n v="5789"/>
    <n v="4650"/>
    <n v="55"/>
    <n v="42"/>
    <n v="179.15"/>
    <n v="1623"/>
  </r>
  <r>
    <x v="38"/>
    <x v="4"/>
    <x v="1"/>
    <n v="7657"/>
    <n v="7092"/>
    <n v="2800"/>
    <n v="79"/>
    <n v="33"/>
    <n v="50.3"/>
    <n v="1418"/>
  </r>
  <r>
    <x v="39"/>
    <x v="0"/>
    <x v="0"/>
    <n v="13674"/>
    <n v="12941"/>
    <n v="7353"/>
    <n v="93"/>
    <n v="37"/>
    <n v="80.209999999999994"/>
    <n v="5210"/>
  </r>
  <r>
    <x v="39"/>
    <x v="0"/>
    <x v="1"/>
    <n v="4737"/>
    <n v="4470"/>
    <n v="1651"/>
    <n v="62"/>
    <n v="116"/>
    <n v="120.7"/>
    <n v="849"/>
  </r>
  <r>
    <x v="39"/>
    <x v="1"/>
    <x v="0"/>
    <n v="6095"/>
    <n v="4891"/>
    <n v="3225"/>
    <n v="79"/>
    <n v="104"/>
    <n v="144.43"/>
    <n v="2208"/>
  </r>
  <r>
    <x v="39"/>
    <x v="1"/>
    <x v="1"/>
    <n v="5262"/>
    <n v="4772"/>
    <n v="2580"/>
    <n v="37"/>
    <n v="34"/>
    <n v="99.92"/>
    <n v="1032"/>
  </r>
  <r>
    <x v="39"/>
    <x v="2"/>
    <x v="0"/>
    <n v="8481"/>
    <n v="2618"/>
    <n v="2618"/>
    <n v="26"/>
    <n v="65"/>
    <n v="163.72999999999999"/>
    <n v="1352"/>
  </r>
  <r>
    <x v="39"/>
    <x v="2"/>
    <x v="1"/>
    <n v="5861"/>
    <n v="3085"/>
    <n v="3505"/>
    <n v="48"/>
    <n v="136"/>
    <n v="119.85"/>
    <n v="1122"/>
  </r>
  <r>
    <x v="39"/>
    <x v="3"/>
    <x v="0"/>
    <n v="2235"/>
    <n v="1750"/>
    <n v="1308"/>
    <n v="27"/>
    <n v="112"/>
    <n v="178.75"/>
    <n v="732"/>
  </r>
  <r>
    <x v="39"/>
    <x v="3"/>
    <x v="1"/>
    <n v="1991"/>
    <n v="1286"/>
    <n v="2203"/>
    <n v="12"/>
    <n v="735"/>
    <n v="175.77"/>
    <n v="404"/>
  </r>
  <r>
    <x v="39"/>
    <x v="4"/>
    <x v="0"/>
    <n v="11146"/>
    <n v="9415"/>
    <n v="4109"/>
    <n v="130"/>
    <n v="40"/>
    <n v="52.11"/>
    <n v="3001"/>
  </r>
  <r>
    <x v="39"/>
    <x v="4"/>
    <x v="1"/>
    <n v="7556"/>
    <n v="4978"/>
    <n v="3582"/>
    <n v="50"/>
    <n v="83"/>
    <n v="73.25"/>
    <n v="1907"/>
  </r>
  <r>
    <x v="40"/>
    <x v="0"/>
    <x v="0"/>
    <n v="11223"/>
    <n v="9995"/>
    <n v="4717"/>
    <n v="149"/>
    <n v="33"/>
    <n v="97.09"/>
    <n v="3035"/>
  </r>
  <r>
    <x v="40"/>
    <x v="0"/>
    <x v="1"/>
    <n v="9520"/>
    <n v="3686"/>
    <n v="3701"/>
    <n v="29"/>
    <n v="42"/>
    <n v="63.71"/>
    <n v="2099"/>
  </r>
  <r>
    <x v="40"/>
    <x v="1"/>
    <x v="0"/>
    <n v="10355"/>
    <n v="6264"/>
    <n v="5625"/>
    <n v="61"/>
    <n v="74"/>
    <n v="73.180000000000007"/>
    <n v="3803"/>
  </r>
  <r>
    <x v="40"/>
    <x v="1"/>
    <x v="1"/>
    <n v="3230"/>
    <n v="1128"/>
    <n v="1491"/>
    <n v="17"/>
    <n v="67"/>
    <n v="79.650000000000006"/>
    <n v="637"/>
  </r>
  <r>
    <x v="40"/>
    <x v="2"/>
    <x v="0"/>
    <n v="5566"/>
    <n v="4403"/>
    <n v="2365"/>
    <n v="22"/>
    <n v="142"/>
    <n v="48.09"/>
    <n v="1266"/>
  </r>
  <r>
    <x v="40"/>
    <x v="2"/>
    <x v="1"/>
    <n v="7570"/>
    <n v="3475"/>
    <n v="2794"/>
    <n v="30"/>
    <n v="34"/>
    <n v="52.01"/>
    <n v="840"/>
  </r>
  <r>
    <x v="40"/>
    <x v="3"/>
    <x v="0"/>
    <n v="5647"/>
    <n v="3960"/>
    <n v="2980"/>
    <n v="39"/>
    <n v="137"/>
    <n v="132.58000000000001"/>
    <n v="1711"/>
  </r>
  <r>
    <x v="40"/>
    <x v="3"/>
    <x v="1"/>
    <n v="3744"/>
    <n v="1630"/>
    <n v="1502"/>
    <n v="11"/>
    <n v="46"/>
    <n v="139.44999999999999"/>
    <n v="1126"/>
  </r>
  <r>
    <x v="40"/>
    <x v="4"/>
    <x v="0"/>
    <n v="10500"/>
    <n v="6620"/>
    <n v="4349"/>
    <n v="45"/>
    <n v="79"/>
    <n v="42.61"/>
    <n v="2116"/>
  </r>
  <r>
    <x v="40"/>
    <x v="4"/>
    <x v="1"/>
    <n v="7016"/>
    <n v="4633"/>
    <n v="2194"/>
    <n v="75"/>
    <n v="84"/>
    <n v="132.88"/>
    <n v="920"/>
  </r>
  <r>
    <x v="41"/>
    <x v="0"/>
    <x v="0"/>
    <n v="14540"/>
    <n v="9353"/>
    <n v="7453"/>
    <n v="132"/>
    <n v="87"/>
    <n v="151.54"/>
    <n v="2813"/>
  </r>
  <r>
    <x v="41"/>
    <x v="0"/>
    <x v="1"/>
    <n v="5519"/>
    <n v="2040"/>
    <n v="2986"/>
    <n v="12"/>
    <n v="135"/>
    <n v="71.86"/>
    <n v="1060"/>
  </r>
  <r>
    <x v="41"/>
    <x v="1"/>
    <x v="0"/>
    <n v="5093"/>
    <n v="4182"/>
    <n v="2056"/>
    <n v="30"/>
    <n v="61"/>
    <n v="34.61"/>
    <n v="927"/>
  </r>
  <r>
    <x v="41"/>
    <x v="1"/>
    <x v="1"/>
    <n v="5501"/>
    <n v="4200"/>
    <n v="3213"/>
    <n v="48"/>
    <n v="30"/>
    <n v="98.6"/>
    <n v="1681"/>
  </r>
  <r>
    <x v="41"/>
    <x v="2"/>
    <x v="0"/>
    <n v="3691"/>
    <n v="3294"/>
    <n v="1973"/>
    <n v="17"/>
    <n v="47"/>
    <n v="175.09"/>
    <n v="702"/>
  </r>
  <r>
    <x v="41"/>
    <x v="2"/>
    <x v="1"/>
    <n v="3918"/>
    <n v="1215"/>
    <n v="1764"/>
    <n v="14"/>
    <n v="107"/>
    <n v="23.53"/>
    <n v="1090"/>
  </r>
  <r>
    <x v="41"/>
    <x v="3"/>
    <x v="0"/>
    <n v="2172"/>
    <n v="1004"/>
    <n v="1942"/>
    <n v="11"/>
    <n v="74"/>
    <n v="80.430000000000007"/>
    <n v="534"/>
  </r>
  <r>
    <x v="41"/>
    <x v="3"/>
    <x v="1"/>
    <n v="1997"/>
    <n v="1744"/>
    <n v="1005"/>
    <n v="25"/>
    <n v="48"/>
    <n v="126"/>
    <n v="584"/>
  </r>
  <r>
    <x v="41"/>
    <x v="4"/>
    <x v="0"/>
    <n v="5441"/>
    <n v="1583"/>
    <n v="3159"/>
    <n v="14"/>
    <n v="33"/>
    <n v="17.010000000000002"/>
    <n v="2157"/>
  </r>
  <r>
    <x v="41"/>
    <x v="4"/>
    <x v="1"/>
    <n v="3824"/>
    <n v="1366"/>
    <n v="1170"/>
    <n v="10"/>
    <n v="96"/>
    <n v="117.51"/>
    <n v="557"/>
  </r>
  <r>
    <x v="42"/>
    <x v="0"/>
    <x v="0"/>
    <n v="7351"/>
    <n v="4042"/>
    <n v="3541"/>
    <n v="62"/>
    <n v="134"/>
    <n v="86.41"/>
    <n v="1456"/>
  </r>
  <r>
    <x v="42"/>
    <x v="0"/>
    <x v="1"/>
    <n v="3011"/>
    <n v="2191"/>
    <n v="1089"/>
    <n v="13"/>
    <n v="110"/>
    <n v="125.79"/>
    <n v="513"/>
  </r>
  <r>
    <x v="42"/>
    <x v="1"/>
    <x v="0"/>
    <n v="10501"/>
    <n v="4025"/>
    <n v="5516"/>
    <n v="40"/>
    <n v="52"/>
    <n v="170.31"/>
    <n v="1906"/>
  </r>
  <r>
    <x v="42"/>
    <x v="1"/>
    <x v="1"/>
    <n v="3782"/>
    <n v="3577"/>
    <n v="1723"/>
    <n v="21"/>
    <n v="34"/>
    <n v="176.53"/>
    <n v="656"/>
  </r>
  <r>
    <x v="42"/>
    <x v="2"/>
    <x v="0"/>
    <n v="10781"/>
    <n v="8315"/>
    <n v="4601"/>
    <n v="110"/>
    <n v="58"/>
    <n v="48.88"/>
    <n v="2098"/>
  </r>
  <r>
    <x v="42"/>
    <x v="2"/>
    <x v="1"/>
    <n v="7646"/>
    <n v="3313"/>
    <n v="3800"/>
    <n v="28"/>
    <n v="32"/>
    <n v="43.4"/>
    <n v="2796"/>
  </r>
  <r>
    <x v="42"/>
    <x v="3"/>
    <x v="0"/>
    <n v="1955"/>
    <n v="1809"/>
    <n v="1854"/>
    <n v="15"/>
    <n v="696"/>
    <n v="106.31"/>
    <n v="365"/>
  </r>
  <r>
    <x v="42"/>
    <x v="3"/>
    <x v="1"/>
    <n v="1570"/>
    <n v="1172"/>
    <n v="1949"/>
    <n v="11"/>
    <n v="701"/>
    <n v="66.63"/>
    <n v="370"/>
  </r>
  <r>
    <x v="42"/>
    <x v="4"/>
    <x v="0"/>
    <n v="5517"/>
    <n v="2315"/>
    <n v="1943"/>
    <n v="12"/>
    <n v="49"/>
    <n v="170.88"/>
    <n v="685"/>
  </r>
  <r>
    <x v="42"/>
    <x v="4"/>
    <x v="1"/>
    <n v="3903"/>
    <n v="3575"/>
    <n v="2075"/>
    <n v="18"/>
    <n v="31"/>
    <n v="118.54"/>
    <n v="1206"/>
  </r>
  <r>
    <x v="43"/>
    <x v="0"/>
    <x v="0"/>
    <n v="8456"/>
    <n v="5578"/>
    <n v="3679"/>
    <n v="44"/>
    <n v="60"/>
    <n v="116.85"/>
    <n v="2689"/>
  </r>
  <r>
    <x v="43"/>
    <x v="0"/>
    <x v="1"/>
    <n v="7243"/>
    <n v="5244"/>
    <n v="2394"/>
    <n v="86"/>
    <n v="41"/>
    <n v="138.47999999999999"/>
    <n v="727"/>
  </r>
  <r>
    <x v="43"/>
    <x v="1"/>
    <x v="0"/>
    <n v="7376"/>
    <n v="6057"/>
    <n v="4021"/>
    <n v="91"/>
    <n v="42"/>
    <n v="52.81"/>
    <n v="2134"/>
  </r>
  <r>
    <x v="43"/>
    <x v="1"/>
    <x v="1"/>
    <n v="3655"/>
    <n v="2555"/>
    <n v="1880"/>
    <n v="20"/>
    <n v="100"/>
    <n v="23.25"/>
    <n v="641"/>
  </r>
  <r>
    <x v="43"/>
    <x v="2"/>
    <x v="0"/>
    <n v="11248"/>
    <n v="2811"/>
    <n v="4098"/>
    <n v="22"/>
    <n v="47"/>
    <n v="73.55"/>
    <n v="1729"/>
  </r>
  <r>
    <x v="43"/>
    <x v="2"/>
    <x v="1"/>
    <n v="4016"/>
    <n v="3083"/>
    <n v="2016"/>
    <n v="37"/>
    <n v="95"/>
    <n v="161.02000000000001"/>
    <n v="678"/>
  </r>
  <r>
    <x v="43"/>
    <x v="3"/>
    <x v="0"/>
    <n v="4763"/>
    <n v="3966"/>
    <n v="2207"/>
    <n v="63"/>
    <n v="126"/>
    <n v="56.8"/>
    <n v="861"/>
  </r>
  <r>
    <x v="43"/>
    <x v="3"/>
    <x v="1"/>
    <n v="1120"/>
    <n v="690"/>
    <n v="1674"/>
    <n v="57"/>
    <n v="660"/>
    <n v="70.05"/>
    <n v="329"/>
  </r>
  <r>
    <x v="43"/>
    <x v="4"/>
    <x v="0"/>
    <n v="5416"/>
    <n v="2736"/>
    <n v="2708"/>
    <n v="42"/>
    <n v="94"/>
    <n v="55.98"/>
    <n v="1772"/>
  </r>
  <r>
    <x v="43"/>
    <x v="4"/>
    <x v="1"/>
    <n v="4123"/>
    <n v="3464"/>
    <n v="1899"/>
    <n v="37"/>
    <n v="94"/>
    <n v="151.08000000000001"/>
    <n v="693"/>
  </r>
  <r>
    <x v="44"/>
    <x v="0"/>
    <x v="0"/>
    <n v="11546"/>
    <n v="9298"/>
    <n v="4160"/>
    <n v="111"/>
    <n v="83"/>
    <n v="96.03"/>
    <n v="2353"/>
  </r>
  <r>
    <x v="44"/>
    <x v="0"/>
    <x v="1"/>
    <n v="7802"/>
    <n v="3052"/>
    <n v="4009"/>
    <n v="25"/>
    <n v="121"/>
    <n v="41.32"/>
    <n v="1223"/>
  </r>
  <r>
    <x v="44"/>
    <x v="1"/>
    <x v="0"/>
    <n v="6062"/>
    <n v="3709"/>
    <n v="3533"/>
    <n v="53"/>
    <n v="48"/>
    <n v="128.05000000000001"/>
    <n v="2247"/>
  </r>
  <r>
    <x v="44"/>
    <x v="1"/>
    <x v="1"/>
    <n v="2321"/>
    <n v="1903"/>
    <n v="1340"/>
    <n v="10"/>
    <n v="101"/>
    <n v="73.89"/>
    <n v="669"/>
  </r>
  <r>
    <x v="44"/>
    <x v="2"/>
    <x v="0"/>
    <n v="9949"/>
    <n v="2936"/>
    <n v="5456"/>
    <n v="45"/>
    <n v="59"/>
    <n v="68.91"/>
    <n v="2167"/>
  </r>
  <r>
    <x v="44"/>
    <x v="2"/>
    <x v="1"/>
    <n v="4448"/>
    <n v="2264"/>
    <n v="1644"/>
    <n v="18"/>
    <n v="84"/>
    <n v="106.31"/>
    <n v="729"/>
  </r>
  <r>
    <x v="44"/>
    <x v="3"/>
    <x v="0"/>
    <n v="2278"/>
    <n v="1119"/>
    <n v="1226"/>
    <n v="12"/>
    <n v="124"/>
    <n v="17.190000000000001"/>
    <n v="856"/>
  </r>
  <r>
    <x v="44"/>
    <x v="3"/>
    <x v="1"/>
    <n v="3139"/>
    <n v="1116"/>
    <n v="1111"/>
    <n v="14"/>
    <n v="58"/>
    <n v="42.27"/>
    <n v="680"/>
  </r>
  <r>
    <x v="44"/>
    <x v="4"/>
    <x v="0"/>
    <n v="5212"/>
    <n v="4489"/>
    <n v="2798"/>
    <n v="50"/>
    <n v="37"/>
    <n v="83.34"/>
    <n v="1213"/>
  </r>
  <r>
    <x v="44"/>
    <x v="4"/>
    <x v="1"/>
    <n v="7900"/>
    <n v="6963"/>
    <n v="3210"/>
    <n v="54"/>
    <n v="120"/>
    <n v="49.96"/>
    <n v="1115"/>
  </r>
  <r>
    <x v="45"/>
    <x v="0"/>
    <x v="0"/>
    <n v="10960"/>
    <n v="4566"/>
    <n v="4574"/>
    <n v="26"/>
    <n v="45"/>
    <n v="116.69"/>
    <n v="1854"/>
  </r>
  <r>
    <x v="45"/>
    <x v="0"/>
    <x v="1"/>
    <n v="6377"/>
    <n v="3434"/>
    <n v="3580"/>
    <n v="47"/>
    <n v="54"/>
    <n v="82.97"/>
    <n v="2168"/>
  </r>
  <r>
    <x v="45"/>
    <x v="1"/>
    <x v="0"/>
    <n v="7141"/>
    <n v="4671"/>
    <n v="4167"/>
    <n v="24"/>
    <n v="50"/>
    <n v="70.64"/>
    <n v="2556"/>
  </r>
  <r>
    <x v="45"/>
    <x v="1"/>
    <x v="1"/>
    <n v="3075"/>
    <n v="2908"/>
    <n v="1028"/>
    <n v="32"/>
    <n v="33"/>
    <n v="98.79"/>
    <n v="662"/>
  </r>
  <r>
    <x v="45"/>
    <x v="2"/>
    <x v="0"/>
    <n v="8407"/>
    <n v="6718"/>
    <n v="4684"/>
    <n v="81"/>
    <n v="77"/>
    <n v="118.69"/>
    <n v="2824"/>
  </r>
  <r>
    <x v="45"/>
    <x v="2"/>
    <x v="1"/>
    <n v="6262"/>
    <n v="4725"/>
    <n v="3252"/>
    <n v="72"/>
    <n v="77"/>
    <n v="150.53"/>
    <n v="1996"/>
  </r>
  <r>
    <x v="45"/>
    <x v="3"/>
    <x v="0"/>
    <n v="5901"/>
    <n v="2281"/>
    <n v="2276"/>
    <n v="15"/>
    <n v="74"/>
    <n v="156.07"/>
    <n v="1227"/>
  </r>
  <r>
    <x v="45"/>
    <x v="3"/>
    <x v="1"/>
    <n v="3543"/>
    <n v="2086"/>
    <n v="1498"/>
    <n v="11"/>
    <n v="79"/>
    <n v="48.57"/>
    <n v="886"/>
  </r>
  <r>
    <x v="45"/>
    <x v="4"/>
    <x v="0"/>
    <n v="10199"/>
    <n v="2756"/>
    <n v="3616"/>
    <n v="29"/>
    <n v="129"/>
    <n v="121.97"/>
    <n v="2294"/>
  </r>
  <r>
    <x v="45"/>
    <x v="4"/>
    <x v="1"/>
    <n v="3912"/>
    <n v="2208"/>
    <n v="2334"/>
    <n v="24"/>
    <n v="133"/>
    <n v="67.989999999999995"/>
    <n v="944"/>
  </r>
  <r>
    <x v="46"/>
    <x v="0"/>
    <x v="0"/>
    <n v="17246"/>
    <n v="5008"/>
    <n v="8321"/>
    <n v="68"/>
    <n v="143"/>
    <n v="134.25"/>
    <n v="5142"/>
  </r>
  <r>
    <x v="46"/>
    <x v="0"/>
    <x v="1"/>
    <n v="9831"/>
    <n v="4836"/>
    <n v="4068"/>
    <n v="77"/>
    <n v="59"/>
    <n v="15.88"/>
    <n v="2742"/>
  </r>
  <r>
    <x v="46"/>
    <x v="1"/>
    <x v="0"/>
    <n v="7375"/>
    <n v="2276"/>
    <n v="2320"/>
    <n v="14"/>
    <n v="50"/>
    <n v="144.02000000000001"/>
    <n v="1302"/>
  </r>
  <r>
    <x v="46"/>
    <x v="1"/>
    <x v="1"/>
    <n v="6018"/>
    <n v="4923"/>
    <n v="2059"/>
    <n v="54"/>
    <n v="51"/>
    <n v="78.790000000000006"/>
    <n v="1239"/>
  </r>
  <r>
    <x v="46"/>
    <x v="2"/>
    <x v="0"/>
    <n v="4898"/>
    <n v="1863"/>
    <n v="2571"/>
    <n v="29"/>
    <n v="58"/>
    <n v="86.47"/>
    <n v="1822"/>
  </r>
  <r>
    <x v="46"/>
    <x v="2"/>
    <x v="1"/>
    <n v="7258"/>
    <n v="6388"/>
    <n v="3554"/>
    <n v="75"/>
    <n v="147"/>
    <n v="132.61000000000001"/>
    <n v="1317"/>
  </r>
  <r>
    <x v="46"/>
    <x v="3"/>
    <x v="0"/>
    <n v="2273"/>
    <n v="876"/>
    <n v="2059"/>
    <n v="61"/>
    <n v="667"/>
    <n v="134.52000000000001"/>
    <n v="336"/>
  </r>
  <r>
    <x v="46"/>
    <x v="3"/>
    <x v="1"/>
    <n v="3536"/>
    <n v="1327"/>
    <n v="1799"/>
    <n v="79"/>
    <n v="49"/>
    <n v="173.15"/>
    <n v="850"/>
  </r>
  <r>
    <x v="46"/>
    <x v="4"/>
    <x v="0"/>
    <n v="6208"/>
    <n v="4884"/>
    <n v="4250"/>
    <n v="64"/>
    <n v="137"/>
    <n v="102.24"/>
    <n v="3071"/>
  </r>
  <r>
    <x v="46"/>
    <x v="4"/>
    <x v="1"/>
    <n v="6444"/>
    <n v="1678"/>
    <n v="1625"/>
    <n v="22"/>
    <n v="122"/>
    <n v="143.37"/>
    <n v="923"/>
  </r>
  <r>
    <x v="47"/>
    <x v="0"/>
    <x v="0"/>
    <n v="7505"/>
    <n v="12802"/>
    <n v="7186"/>
    <n v="181"/>
    <n v="88"/>
    <n v="20.14"/>
    <n v="4574"/>
  </r>
  <r>
    <x v="47"/>
    <x v="0"/>
    <x v="1"/>
    <n v="7031"/>
    <n v="3023"/>
    <n v="3983"/>
    <n v="30"/>
    <n v="48"/>
    <n v="125.03"/>
    <n v="2672"/>
  </r>
  <r>
    <x v="47"/>
    <x v="1"/>
    <x v="0"/>
    <n v="9685"/>
    <n v="5315"/>
    <n v="4399"/>
    <n v="39"/>
    <n v="106"/>
    <n v="151.19"/>
    <n v="2777"/>
  </r>
  <r>
    <x v="47"/>
    <x v="1"/>
    <x v="1"/>
    <n v="5951"/>
    <n v="2435"/>
    <n v="1742"/>
    <n v="32"/>
    <n v="31"/>
    <n v="147.22"/>
    <n v="1170"/>
  </r>
  <r>
    <x v="47"/>
    <x v="2"/>
    <x v="0"/>
    <n v="11945"/>
    <n v="10246"/>
    <n v="4449"/>
    <n v="170"/>
    <n v="56"/>
    <n v="173.59"/>
    <n v="1415"/>
  </r>
  <r>
    <x v="47"/>
    <x v="2"/>
    <x v="1"/>
    <n v="6279"/>
    <n v="3136"/>
    <n v="2950"/>
    <n v="44"/>
    <n v="31"/>
    <n v="17.600000000000001"/>
    <n v="1300"/>
  </r>
  <r>
    <x v="47"/>
    <x v="3"/>
    <x v="0"/>
    <n v="5003"/>
    <n v="3954"/>
    <n v="2645"/>
    <n v="49"/>
    <n v="100"/>
    <n v="15.88"/>
    <n v="840"/>
  </r>
  <r>
    <x v="47"/>
    <x v="3"/>
    <x v="1"/>
    <n v="2741"/>
    <n v="1890"/>
    <n v="1305"/>
    <n v="28"/>
    <n v="96"/>
    <n v="135.94999999999999"/>
    <n v="733"/>
  </r>
  <r>
    <x v="47"/>
    <x v="4"/>
    <x v="0"/>
    <n v="5113"/>
    <n v="3830"/>
    <n v="1885"/>
    <n v="36"/>
    <n v="125"/>
    <n v="76.3"/>
    <n v="1072"/>
  </r>
  <r>
    <x v="47"/>
    <x v="4"/>
    <x v="1"/>
    <n v="3035"/>
    <n v="1881"/>
    <n v="1817"/>
    <n v="14"/>
    <n v="85"/>
    <n v="91.09"/>
    <n v="1347"/>
  </r>
  <r>
    <x v="48"/>
    <x v="0"/>
    <x v="0"/>
    <n v="11561"/>
    <n v="7711"/>
    <n v="5045"/>
    <n v="43"/>
    <n v="56"/>
    <n v="33.159999999999997"/>
    <n v="3045"/>
  </r>
  <r>
    <x v="48"/>
    <x v="0"/>
    <x v="1"/>
    <n v="8574"/>
    <n v="3090"/>
    <n v="4349"/>
    <n v="33"/>
    <n v="53"/>
    <n v="138.38999999999999"/>
    <n v="2669"/>
  </r>
  <r>
    <x v="48"/>
    <x v="1"/>
    <x v="0"/>
    <n v="7189"/>
    <n v="4827"/>
    <n v="3678"/>
    <n v="34"/>
    <n v="115"/>
    <n v="171.54"/>
    <n v="1856"/>
  </r>
  <r>
    <x v="48"/>
    <x v="1"/>
    <x v="1"/>
    <n v="3402"/>
    <n v="863"/>
    <n v="1643"/>
    <n v="12"/>
    <n v="87"/>
    <n v="128.13999999999999"/>
    <n v="1010"/>
  </r>
  <r>
    <x v="48"/>
    <x v="2"/>
    <x v="0"/>
    <n v="11701"/>
    <n v="7322"/>
    <n v="4921"/>
    <n v="78"/>
    <n v="39"/>
    <n v="121.03"/>
    <n v="1817"/>
  </r>
  <r>
    <x v="48"/>
    <x v="2"/>
    <x v="1"/>
    <n v="5042"/>
    <n v="3327"/>
    <n v="2049"/>
    <n v="40"/>
    <n v="115"/>
    <n v="53.08"/>
    <n v="663"/>
  </r>
  <r>
    <x v="48"/>
    <x v="3"/>
    <x v="0"/>
    <n v="5921"/>
    <n v="3997"/>
    <n v="1481"/>
    <n v="66"/>
    <n v="101"/>
    <n v="127.77"/>
    <n v="2842"/>
  </r>
  <r>
    <x v="48"/>
    <x v="3"/>
    <x v="1"/>
    <n v="3079"/>
    <n v="2373"/>
    <n v="1665"/>
    <n v="20"/>
    <n v="67"/>
    <n v="129.05000000000001"/>
    <n v="1247"/>
  </r>
  <r>
    <x v="48"/>
    <x v="4"/>
    <x v="0"/>
    <n v="4976"/>
    <n v="4681"/>
    <n v="2758"/>
    <n v="49"/>
    <n v="40"/>
    <n v="86.84"/>
    <n v="905"/>
  </r>
  <r>
    <x v="48"/>
    <x v="4"/>
    <x v="1"/>
    <n v="7293"/>
    <n v="5265"/>
    <n v="2857"/>
    <n v="81"/>
    <n v="68"/>
    <n v="49.78"/>
    <n v="1567"/>
  </r>
  <r>
    <x v="49"/>
    <x v="0"/>
    <x v="0"/>
    <n v="7202"/>
    <n v="10011"/>
    <n v="10024"/>
    <n v="56"/>
    <n v="33"/>
    <n v="175.56"/>
    <n v="3345"/>
  </r>
  <r>
    <x v="49"/>
    <x v="0"/>
    <x v="1"/>
    <n v="9139"/>
    <n v="8561"/>
    <n v="3505"/>
    <n v="87"/>
    <n v="59"/>
    <n v="51.25"/>
    <n v="2310"/>
  </r>
  <r>
    <x v="49"/>
    <x v="1"/>
    <x v="0"/>
    <n v="7027"/>
    <n v="2342"/>
    <n v="2857"/>
    <n v="19"/>
    <n v="120"/>
    <n v="43.07"/>
    <n v="1724"/>
  </r>
  <r>
    <x v="49"/>
    <x v="1"/>
    <x v="1"/>
    <n v="6712"/>
    <n v="2320"/>
    <n v="3754"/>
    <n v="21"/>
    <n v="92"/>
    <n v="151.84"/>
    <n v="1388"/>
  </r>
  <r>
    <x v="49"/>
    <x v="2"/>
    <x v="0"/>
    <n v="6379"/>
    <n v="6701"/>
    <n v="3541"/>
    <n v="96"/>
    <n v="40"/>
    <n v="66.430000000000007"/>
    <n v="1987"/>
  </r>
  <r>
    <x v="49"/>
    <x v="2"/>
    <x v="1"/>
    <n v="4424"/>
    <n v="1933"/>
    <n v="1436"/>
    <n v="21"/>
    <n v="32"/>
    <n v="133.01"/>
    <n v="728"/>
  </r>
  <r>
    <x v="49"/>
    <x v="3"/>
    <x v="0"/>
    <n v="3397"/>
    <n v="1839"/>
    <n v="1758"/>
    <n v="19"/>
    <n v="30"/>
    <n v="47.88"/>
    <n v="982"/>
  </r>
  <r>
    <x v="49"/>
    <x v="3"/>
    <x v="1"/>
    <n v="2219"/>
    <n v="1392"/>
    <n v="1324"/>
    <n v="21"/>
    <n v="64"/>
    <n v="101.26"/>
    <n v="927"/>
  </r>
  <r>
    <x v="49"/>
    <x v="4"/>
    <x v="0"/>
    <n v="3506"/>
    <n v="2714"/>
    <n v="1560"/>
    <n v="29"/>
    <n v="38"/>
    <n v="146.94999999999999"/>
    <n v="1056"/>
  </r>
  <r>
    <x v="49"/>
    <x v="4"/>
    <x v="1"/>
    <n v="6460"/>
    <n v="3077"/>
    <n v="3416"/>
    <n v="32"/>
    <n v="35"/>
    <n v="149.94999999999999"/>
    <n v="1218"/>
  </r>
  <r>
    <x v="50"/>
    <x v="0"/>
    <x v="0"/>
    <n v="9458"/>
    <n v="6135"/>
    <n v="4227"/>
    <n v="72"/>
    <n v="124"/>
    <n v="168.83"/>
    <n v="2494"/>
  </r>
  <r>
    <x v="50"/>
    <x v="0"/>
    <x v="1"/>
    <n v="9650"/>
    <n v="6913"/>
    <n v="4548"/>
    <n v="46"/>
    <n v="138"/>
    <n v="45.17"/>
    <n v="1743"/>
  </r>
  <r>
    <x v="50"/>
    <x v="1"/>
    <x v="0"/>
    <n v="4671"/>
    <n v="4158"/>
    <n v="2209"/>
    <n v="50"/>
    <n v="63"/>
    <n v="76.8"/>
    <n v="1218"/>
  </r>
  <r>
    <x v="50"/>
    <x v="1"/>
    <x v="1"/>
    <n v="6750"/>
    <n v="6182"/>
    <n v="2708"/>
    <n v="95"/>
    <n v="34"/>
    <n v="43.9"/>
    <n v="1701"/>
  </r>
  <r>
    <x v="50"/>
    <x v="2"/>
    <x v="0"/>
    <n v="5050"/>
    <n v="1303"/>
    <n v="2303"/>
    <n v="10"/>
    <n v="58"/>
    <n v="15.11"/>
    <n v="1232"/>
  </r>
  <r>
    <x v="50"/>
    <x v="2"/>
    <x v="1"/>
    <n v="6351"/>
    <n v="4269"/>
    <n v="2623"/>
    <n v="24"/>
    <n v="39"/>
    <n v="72.95"/>
    <n v="1061"/>
  </r>
  <r>
    <x v="50"/>
    <x v="3"/>
    <x v="0"/>
    <n v="2439"/>
    <n v="1002"/>
    <n v="1423"/>
    <n v="16"/>
    <n v="63"/>
    <n v="164.89"/>
    <n v="817"/>
  </r>
  <r>
    <x v="50"/>
    <x v="3"/>
    <x v="1"/>
    <n v="2620"/>
    <n v="641"/>
    <n v="1338"/>
    <n v="9"/>
    <n v="77"/>
    <n v="179.93"/>
    <n v="772"/>
  </r>
  <r>
    <x v="50"/>
    <x v="4"/>
    <x v="0"/>
    <n v="7051"/>
    <n v="3599"/>
    <n v="3121"/>
    <n v="48"/>
    <n v="127"/>
    <n v="71.17"/>
    <n v="1884"/>
  </r>
  <r>
    <x v="50"/>
    <x v="4"/>
    <x v="1"/>
    <n v="6470"/>
    <n v="2609"/>
    <n v="2850"/>
    <n v="33"/>
    <n v="39"/>
    <n v="20.76"/>
    <n v="1847"/>
  </r>
  <r>
    <x v="51"/>
    <x v="0"/>
    <x v="0"/>
    <n v="8561"/>
    <n v="7312"/>
    <n v="5127"/>
    <n v="116"/>
    <n v="55"/>
    <n v="54.18"/>
    <n v="3375"/>
  </r>
  <r>
    <x v="51"/>
    <x v="0"/>
    <x v="1"/>
    <n v="4084"/>
    <n v="2349"/>
    <n v="2346"/>
    <n v="33"/>
    <n v="44"/>
    <n v="77.66"/>
    <n v="903"/>
  </r>
  <r>
    <x v="51"/>
    <x v="1"/>
    <x v="0"/>
    <n v="4982"/>
    <n v="1912"/>
    <n v="2344"/>
    <n v="11"/>
    <n v="38"/>
    <n v="156.32"/>
    <n v="1390"/>
  </r>
  <r>
    <x v="51"/>
    <x v="1"/>
    <x v="1"/>
    <n v="5446"/>
    <n v="4950"/>
    <n v="1742"/>
    <n v="47"/>
    <n v="33"/>
    <n v="29.45"/>
    <n v="538"/>
  </r>
  <r>
    <x v="51"/>
    <x v="2"/>
    <x v="0"/>
    <n v="9096"/>
    <n v="3718"/>
    <n v="2811"/>
    <n v="33"/>
    <n v="53"/>
    <n v="120.12"/>
    <n v="2059"/>
  </r>
  <r>
    <x v="51"/>
    <x v="2"/>
    <x v="1"/>
    <n v="6094"/>
    <n v="4145"/>
    <n v="2409"/>
    <n v="54"/>
    <n v="38"/>
    <n v="98.54"/>
    <n v="1642"/>
  </r>
  <r>
    <x v="51"/>
    <x v="3"/>
    <x v="0"/>
    <n v="5097"/>
    <n v="2241"/>
    <n v="3002"/>
    <n v="19"/>
    <n v="61"/>
    <n v="72.239999999999995"/>
    <n v="914"/>
  </r>
  <r>
    <x v="51"/>
    <x v="3"/>
    <x v="1"/>
    <n v="3188"/>
    <n v="3037"/>
    <n v="1281"/>
    <n v="26"/>
    <n v="761"/>
    <n v="29.68"/>
    <n v="430"/>
  </r>
  <r>
    <x v="51"/>
    <x v="4"/>
    <x v="0"/>
    <n v="4718"/>
    <n v="3966"/>
    <n v="1678"/>
    <n v="63"/>
    <n v="142"/>
    <n v="54.6"/>
    <n v="785"/>
  </r>
  <r>
    <x v="51"/>
    <x v="4"/>
    <x v="1"/>
    <n v="2073"/>
    <n v="1386"/>
    <n v="1224"/>
    <n v="9"/>
    <n v="140"/>
    <n v="15.83"/>
    <n v="613"/>
  </r>
  <r>
    <x v="52"/>
    <x v="0"/>
    <x v="0"/>
    <n v="5969"/>
    <n v="2876"/>
    <n v="9454"/>
    <n v="177"/>
    <n v="94"/>
    <n v="33.94"/>
    <n v="5295"/>
  </r>
  <r>
    <x v="52"/>
    <x v="0"/>
    <x v="1"/>
    <n v="5012"/>
    <n v="1403"/>
    <n v="1823"/>
    <n v="78"/>
    <n v="31"/>
    <n v="156.26"/>
    <n v="1091"/>
  </r>
  <r>
    <x v="52"/>
    <x v="1"/>
    <x v="0"/>
    <n v="5633"/>
    <n v="9408"/>
    <n v="4191"/>
    <n v="147"/>
    <n v="113"/>
    <n v="135.4"/>
    <n v="2560"/>
  </r>
  <r>
    <x v="52"/>
    <x v="1"/>
    <x v="1"/>
    <n v="3588"/>
    <n v="1745"/>
    <n v="1971"/>
    <n v="17"/>
    <n v="38"/>
    <n v="62.51"/>
    <n v="698"/>
  </r>
  <r>
    <x v="52"/>
    <x v="2"/>
    <x v="0"/>
    <n v="9844"/>
    <n v="9094"/>
    <n v="5120"/>
    <n v="60"/>
    <n v="57"/>
    <n v="105.2"/>
    <n v="2993"/>
  </r>
  <r>
    <x v="52"/>
    <x v="2"/>
    <x v="1"/>
    <n v="3069"/>
    <n v="836"/>
    <n v="2148"/>
    <n v="77"/>
    <n v="66"/>
    <n v="108.49"/>
    <n v="525"/>
  </r>
  <r>
    <x v="52"/>
    <x v="3"/>
    <x v="0"/>
    <n v="4463"/>
    <n v="3320"/>
    <n v="2090"/>
    <n v="32"/>
    <n v="91"/>
    <n v="147.16"/>
    <n v="1513"/>
  </r>
  <r>
    <x v="52"/>
    <x v="3"/>
    <x v="1"/>
    <n v="1410"/>
    <n v="439"/>
    <n v="1789"/>
    <n v="74"/>
    <n v="528"/>
    <n v="26.09"/>
    <n v="197"/>
  </r>
  <r>
    <x v="52"/>
    <x v="4"/>
    <x v="0"/>
    <n v="9595"/>
    <n v="7715"/>
    <n v="4654"/>
    <n v="102"/>
    <n v="113"/>
    <n v="145.27000000000001"/>
    <n v="3205"/>
  </r>
  <r>
    <x v="52"/>
    <x v="4"/>
    <x v="1"/>
    <n v="7712"/>
    <n v="3496"/>
    <n v="4208"/>
    <n v="56"/>
    <n v="129"/>
    <n v="144.04"/>
    <n v="3125"/>
  </r>
  <r>
    <x v="53"/>
    <x v="0"/>
    <x v="0"/>
    <n v="6047"/>
    <n v="2964"/>
    <n v="1910"/>
    <n v="16"/>
    <n v="125"/>
    <n v="178.26"/>
    <n v="1168"/>
  </r>
  <r>
    <x v="53"/>
    <x v="0"/>
    <x v="1"/>
    <n v="4459"/>
    <n v="1881"/>
    <n v="1818"/>
    <n v="22"/>
    <n v="32"/>
    <n v="162.82"/>
    <n v="1219"/>
  </r>
  <r>
    <x v="53"/>
    <x v="1"/>
    <x v="0"/>
    <n v="11111"/>
    <n v="5567"/>
    <n v="4427"/>
    <n v="80"/>
    <n v="52"/>
    <n v="74.13"/>
    <n v="1745"/>
  </r>
  <r>
    <x v="53"/>
    <x v="1"/>
    <x v="1"/>
    <n v="3810"/>
    <n v="3221"/>
    <n v="1578"/>
    <n v="24"/>
    <n v="31"/>
    <n v="143.94999999999999"/>
    <n v="1048"/>
  </r>
  <r>
    <x v="53"/>
    <x v="2"/>
    <x v="0"/>
    <n v="4477"/>
    <n v="2052"/>
    <n v="1502"/>
    <n v="33"/>
    <n v="38"/>
    <n v="114.28"/>
    <n v="1082"/>
  </r>
  <r>
    <x v="53"/>
    <x v="2"/>
    <x v="1"/>
    <n v="5193"/>
    <n v="3024"/>
    <n v="1809"/>
    <n v="29"/>
    <n v="30"/>
    <n v="168.14"/>
    <n v="1077"/>
  </r>
  <r>
    <x v="53"/>
    <x v="3"/>
    <x v="0"/>
    <n v="4403"/>
    <n v="1274"/>
    <n v="1475"/>
    <n v="13"/>
    <n v="131"/>
    <n v="121.96"/>
    <n v="849"/>
  </r>
  <r>
    <x v="53"/>
    <x v="3"/>
    <x v="1"/>
    <n v="1388"/>
    <n v="883"/>
    <n v="1976"/>
    <n v="9"/>
    <n v="49"/>
    <n v="163.38"/>
    <n v="509"/>
  </r>
  <r>
    <x v="53"/>
    <x v="4"/>
    <x v="0"/>
    <n v="3644"/>
    <n v="1152"/>
    <n v="1545"/>
    <n v="10"/>
    <n v="56"/>
    <n v="50.8"/>
    <n v="933"/>
  </r>
  <r>
    <x v="53"/>
    <x v="4"/>
    <x v="1"/>
    <n v="7733"/>
    <n v="2868"/>
    <n v="4239"/>
    <n v="20"/>
    <n v="31"/>
    <n v="100.52"/>
    <n v="1352"/>
  </r>
  <r>
    <x v="54"/>
    <x v="0"/>
    <x v="0"/>
    <n v="9282"/>
    <n v="5950"/>
    <n v="4183"/>
    <n v="46"/>
    <n v="130"/>
    <n v="153.02000000000001"/>
    <n v="2632"/>
  </r>
  <r>
    <x v="54"/>
    <x v="0"/>
    <x v="1"/>
    <n v="7036"/>
    <n v="6421"/>
    <n v="3452"/>
    <n v="101"/>
    <n v="39"/>
    <n v="102.66"/>
    <n v="2014"/>
  </r>
  <r>
    <x v="54"/>
    <x v="1"/>
    <x v="0"/>
    <n v="6190"/>
    <n v="4966"/>
    <n v="2681"/>
    <n v="48"/>
    <n v="54"/>
    <n v="104.15"/>
    <n v="1882"/>
  </r>
  <r>
    <x v="54"/>
    <x v="1"/>
    <x v="1"/>
    <n v="2663"/>
    <n v="1093"/>
    <n v="1412"/>
    <n v="40"/>
    <n v="30"/>
    <n v="94.86"/>
    <n v="742"/>
  </r>
  <r>
    <x v="54"/>
    <x v="2"/>
    <x v="0"/>
    <n v="3364"/>
    <n v="1472"/>
    <n v="1226"/>
    <n v="23"/>
    <n v="123"/>
    <n v="16.05"/>
    <n v="856"/>
  </r>
  <r>
    <x v="54"/>
    <x v="2"/>
    <x v="1"/>
    <n v="7485"/>
    <n v="5551"/>
    <n v="2771"/>
    <n v="49"/>
    <n v="31"/>
    <n v="171.21"/>
    <n v="1094"/>
  </r>
  <r>
    <x v="54"/>
    <x v="3"/>
    <x v="0"/>
    <n v="2715"/>
    <n v="1399"/>
    <n v="1185"/>
    <n v="17"/>
    <n v="53"/>
    <n v="123.82"/>
    <n v="771"/>
  </r>
  <r>
    <x v="54"/>
    <x v="3"/>
    <x v="1"/>
    <n v="1045"/>
    <n v="575"/>
    <n v="1589"/>
    <n v="38"/>
    <n v="455"/>
    <n v="65.69"/>
    <n v="124"/>
  </r>
  <r>
    <x v="54"/>
    <x v="4"/>
    <x v="0"/>
    <n v="3140"/>
    <n v="3028"/>
    <n v="3778"/>
    <n v="141"/>
    <n v="104"/>
    <n v="163.16"/>
    <n v="2095"/>
  </r>
  <r>
    <x v="54"/>
    <x v="4"/>
    <x v="1"/>
    <n v="5683"/>
    <n v="4189"/>
    <n v="3077"/>
    <n v="38"/>
    <n v="59"/>
    <n v="41.9"/>
    <n v="996"/>
  </r>
  <r>
    <x v="55"/>
    <x v="0"/>
    <x v="0"/>
    <n v="5804"/>
    <n v="5648"/>
    <n v="8068"/>
    <n v="83"/>
    <n v="87"/>
    <n v="158.29"/>
    <n v="3526"/>
  </r>
  <r>
    <x v="55"/>
    <x v="0"/>
    <x v="1"/>
    <n v="5674"/>
    <n v="6328"/>
    <n v="3640"/>
    <n v="35"/>
    <n v="34"/>
    <n v="111.24"/>
    <n v="2032"/>
  </r>
  <r>
    <x v="55"/>
    <x v="1"/>
    <x v="0"/>
    <n v="5758"/>
    <n v="9438"/>
    <n v="4402"/>
    <n v="82"/>
    <n v="58"/>
    <n v="175.68"/>
    <n v="2703"/>
  </r>
  <r>
    <x v="55"/>
    <x v="1"/>
    <x v="1"/>
    <n v="4714"/>
    <n v="1341"/>
    <n v="2215"/>
    <n v="15"/>
    <n v="34"/>
    <n v="105.73"/>
    <n v="1413"/>
  </r>
  <r>
    <x v="55"/>
    <x v="2"/>
    <x v="0"/>
    <n v="7286"/>
    <n v="2237"/>
    <n v="2543"/>
    <n v="22"/>
    <n v="47"/>
    <n v="149.86000000000001"/>
    <n v="1017"/>
  </r>
  <r>
    <x v="55"/>
    <x v="2"/>
    <x v="1"/>
    <n v="4382"/>
    <n v="1335"/>
    <n v="1381"/>
    <n v="10"/>
    <n v="100"/>
    <n v="49.84"/>
    <n v="804"/>
  </r>
  <r>
    <x v="55"/>
    <x v="3"/>
    <x v="0"/>
    <n v="1791"/>
    <n v="1284"/>
    <n v="2158"/>
    <n v="19"/>
    <n v="112"/>
    <n v="50.68"/>
    <n v="593"/>
  </r>
  <r>
    <x v="55"/>
    <x v="3"/>
    <x v="1"/>
    <n v="1618"/>
    <n v="1327"/>
    <n v="1773"/>
    <n v="18"/>
    <n v="537"/>
    <n v="82.27"/>
    <n v="206"/>
  </r>
  <r>
    <x v="55"/>
    <x v="4"/>
    <x v="0"/>
    <n v="5591"/>
    <n v="4078"/>
    <n v="1736"/>
    <n v="23"/>
    <n v="144"/>
    <n v="55.68"/>
    <n v="827"/>
  </r>
  <r>
    <x v="55"/>
    <x v="4"/>
    <x v="1"/>
    <n v="2764"/>
    <n v="1180"/>
    <n v="1572"/>
    <n v="18"/>
    <n v="55"/>
    <n v="54.69"/>
    <n v="682"/>
  </r>
  <r>
    <x v="56"/>
    <x v="0"/>
    <x v="0"/>
    <n v="10244"/>
    <n v="8289"/>
    <n v="4750"/>
    <n v="55"/>
    <n v="56"/>
    <n v="136.76"/>
    <n v="1650"/>
  </r>
  <r>
    <x v="56"/>
    <x v="0"/>
    <x v="1"/>
    <n v="5249"/>
    <n v="1570"/>
    <n v="3133"/>
    <n v="41"/>
    <n v="116"/>
    <n v="178.09"/>
    <n v="982"/>
  </r>
  <r>
    <x v="56"/>
    <x v="1"/>
    <x v="0"/>
    <n v="3702"/>
    <n v="1338"/>
    <n v="1956"/>
    <n v="12"/>
    <n v="116"/>
    <n v="92.17"/>
    <n v="1033"/>
  </r>
  <r>
    <x v="56"/>
    <x v="1"/>
    <x v="1"/>
    <n v="4381"/>
    <n v="2422"/>
    <n v="2128"/>
    <n v="25"/>
    <n v="92"/>
    <n v="48.25"/>
    <n v="1275"/>
  </r>
  <r>
    <x v="56"/>
    <x v="2"/>
    <x v="0"/>
    <n v="3146"/>
    <n v="1728"/>
    <n v="1066"/>
    <n v="14"/>
    <n v="698"/>
    <n v="150.03"/>
    <n v="367"/>
  </r>
  <r>
    <x v="56"/>
    <x v="2"/>
    <x v="1"/>
    <n v="3062"/>
    <n v="1773"/>
    <n v="1098"/>
    <n v="19"/>
    <n v="119"/>
    <n v="56.75"/>
    <n v="651"/>
  </r>
  <r>
    <x v="56"/>
    <x v="3"/>
    <x v="0"/>
    <n v="4297"/>
    <n v="1220"/>
    <n v="1409"/>
    <n v="10"/>
    <n v="88"/>
    <n v="126.62"/>
    <n v="1034"/>
  </r>
  <r>
    <x v="56"/>
    <x v="3"/>
    <x v="1"/>
    <n v="1446"/>
    <n v="975"/>
    <n v="1896"/>
    <n v="13"/>
    <n v="668"/>
    <n v="18.03"/>
    <n v="337"/>
  </r>
  <r>
    <x v="56"/>
    <x v="4"/>
    <x v="0"/>
    <n v="5924"/>
    <n v="4374"/>
    <n v="2888"/>
    <n v="34"/>
    <n v="41"/>
    <n v="36.61"/>
    <n v="1837"/>
  </r>
  <r>
    <x v="56"/>
    <x v="4"/>
    <x v="1"/>
    <n v="5080"/>
    <n v="1665"/>
    <n v="1697"/>
    <n v="22"/>
    <n v="75"/>
    <n v="168.26"/>
    <n v="1270"/>
  </r>
  <r>
    <x v="57"/>
    <x v="0"/>
    <x v="0"/>
    <n v="9489"/>
    <n v="3141"/>
    <n v="4619"/>
    <n v="17"/>
    <n v="124"/>
    <n v="119.18"/>
    <n v="3063"/>
  </r>
  <r>
    <x v="57"/>
    <x v="0"/>
    <x v="1"/>
    <n v="8565"/>
    <n v="7654"/>
    <n v="4731"/>
    <n v="103"/>
    <n v="35"/>
    <n v="23.32"/>
    <n v="2768"/>
  </r>
  <r>
    <x v="57"/>
    <x v="1"/>
    <x v="0"/>
    <n v="8915"/>
    <n v="7938"/>
    <n v="3663"/>
    <n v="55"/>
    <n v="55"/>
    <n v="114.15"/>
    <n v="1697"/>
  </r>
  <r>
    <x v="57"/>
    <x v="1"/>
    <x v="1"/>
    <n v="3592"/>
    <n v="2932"/>
    <n v="1240"/>
    <n v="44"/>
    <n v="48"/>
    <n v="101.7"/>
    <n v="847"/>
  </r>
  <r>
    <x v="57"/>
    <x v="2"/>
    <x v="0"/>
    <n v="9652"/>
    <n v="9227"/>
    <n v="3787"/>
    <n v="111"/>
    <n v="47"/>
    <n v="63.81"/>
    <n v="2563"/>
  </r>
  <r>
    <x v="57"/>
    <x v="2"/>
    <x v="1"/>
    <n v="5468"/>
    <n v="4290"/>
    <n v="3157"/>
    <n v="26"/>
    <n v="132"/>
    <n v="17.68"/>
    <n v="1410"/>
  </r>
  <r>
    <x v="57"/>
    <x v="3"/>
    <x v="0"/>
    <n v="5399"/>
    <n v="3957"/>
    <n v="2976"/>
    <n v="61"/>
    <n v="68"/>
    <n v="30.58"/>
    <n v="1063"/>
  </r>
  <r>
    <x v="57"/>
    <x v="3"/>
    <x v="1"/>
    <n v="2774"/>
    <n v="1586"/>
    <n v="1097"/>
    <n v="17"/>
    <n v="71"/>
    <n v="143.66999999999999"/>
    <n v="771"/>
  </r>
  <r>
    <x v="57"/>
    <x v="4"/>
    <x v="0"/>
    <n v="5965"/>
    <n v="5259"/>
    <n v="2367"/>
    <n v="27"/>
    <n v="35"/>
    <n v="104.15"/>
    <n v="1301"/>
  </r>
  <r>
    <x v="57"/>
    <x v="4"/>
    <x v="1"/>
    <n v="2374"/>
    <n v="2098"/>
    <n v="1352"/>
    <n v="31"/>
    <n v="78"/>
    <n v="77.7"/>
    <n v="742"/>
  </r>
  <r>
    <x v="58"/>
    <x v="0"/>
    <x v="0"/>
    <n v="5327"/>
    <n v="5494"/>
    <n v="7225"/>
    <n v="126"/>
    <n v="35"/>
    <n v="44.19"/>
    <n v="3728"/>
  </r>
  <r>
    <x v="58"/>
    <x v="0"/>
    <x v="1"/>
    <n v="5447"/>
    <n v="5138"/>
    <n v="1777"/>
    <n v="50"/>
    <n v="35"/>
    <n v="67.8"/>
    <n v="586"/>
  </r>
  <r>
    <x v="58"/>
    <x v="1"/>
    <x v="0"/>
    <n v="7562"/>
    <n v="3479"/>
    <n v="3794"/>
    <n v="34"/>
    <n v="31"/>
    <n v="119.35"/>
    <n v="2303"/>
  </r>
  <r>
    <x v="58"/>
    <x v="1"/>
    <x v="1"/>
    <n v="7594"/>
    <n v="5468"/>
    <n v="3583"/>
    <n v="35"/>
    <n v="137"/>
    <n v="97.49"/>
    <n v="1489"/>
  </r>
  <r>
    <x v="58"/>
    <x v="2"/>
    <x v="0"/>
    <n v="7361"/>
    <n v="2256"/>
    <n v="3696"/>
    <n v="32"/>
    <n v="126"/>
    <n v="116.82"/>
    <n v="2385"/>
  </r>
  <r>
    <x v="58"/>
    <x v="2"/>
    <x v="1"/>
    <n v="6847"/>
    <n v="2789"/>
    <n v="3186"/>
    <n v="21"/>
    <n v="32"/>
    <n v="60.84"/>
    <n v="1706"/>
  </r>
  <r>
    <x v="58"/>
    <x v="3"/>
    <x v="0"/>
    <n v="2770"/>
    <n v="836"/>
    <n v="2131"/>
    <n v="38"/>
    <n v="110"/>
    <n v="120.23"/>
    <n v="518"/>
  </r>
  <r>
    <x v="58"/>
    <x v="3"/>
    <x v="1"/>
    <n v="3540"/>
    <n v="3226"/>
    <n v="1350"/>
    <n v="36"/>
    <n v="94"/>
    <n v="116.25"/>
    <n v="648"/>
  </r>
  <r>
    <x v="58"/>
    <x v="4"/>
    <x v="0"/>
    <n v="6418"/>
    <n v="6054"/>
    <n v="2186"/>
    <n v="69"/>
    <n v="142"/>
    <n v="91.92"/>
    <n v="1535"/>
  </r>
  <r>
    <x v="58"/>
    <x v="4"/>
    <x v="1"/>
    <n v="6054"/>
    <n v="4506"/>
    <n v="2429"/>
    <n v="63"/>
    <n v="33"/>
    <n v="67.099999999999994"/>
    <n v="1758"/>
  </r>
  <r>
    <x v="59"/>
    <x v="0"/>
    <x v="0"/>
    <n v="6221"/>
    <n v="5860"/>
    <n v="2432"/>
    <n v="86"/>
    <n v="73"/>
    <n v="126.56"/>
    <n v="1787"/>
  </r>
  <r>
    <x v="59"/>
    <x v="0"/>
    <x v="1"/>
    <n v="11367"/>
    <n v="6102"/>
    <n v="4266"/>
    <n v="97"/>
    <n v="56"/>
    <n v="72.03"/>
    <n v="1511"/>
  </r>
  <r>
    <x v="59"/>
    <x v="1"/>
    <x v="0"/>
    <n v="3552"/>
    <n v="1011"/>
    <n v="1605"/>
    <n v="9"/>
    <n v="45"/>
    <n v="32.549999999999997"/>
    <n v="598"/>
  </r>
  <r>
    <x v="59"/>
    <x v="1"/>
    <x v="1"/>
    <n v="2709"/>
    <n v="1342"/>
    <n v="2119"/>
    <n v="13"/>
    <n v="82"/>
    <n v="116.31"/>
    <n v="632"/>
  </r>
  <r>
    <x v="59"/>
    <x v="2"/>
    <x v="0"/>
    <n v="7031"/>
    <n v="4003"/>
    <n v="3070"/>
    <n v="39"/>
    <n v="52"/>
    <n v="172.5"/>
    <n v="1494"/>
  </r>
  <r>
    <x v="59"/>
    <x v="2"/>
    <x v="1"/>
    <n v="2477"/>
    <n v="916"/>
    <n v="1133"/>
    <n v="40"/>
    <n v="728"/>
    <n v="35.93"/>
    <n v="397"/>
  </r>
  <r>
    <x v="59"/>
    <x v="3"/>
    <x v="0"/>
    <n v="1863"/>
    <n v="665"/>
    <n v="1889"/>
    <n v="9"/>
    <n v="552"/>
    <n v="158.87"/>
    <n v="221"/>
  </r>
  <r>
    <x v="59"/>
    <x v="3"/>
    <x v="1"/>
    <n v="1877"/>
    <n v="608"/>
    <n v="1943"/>
    <n v="38"/>
    <n v="724"/>
    <n v="164.82"/>
    <n v="393"/>
  </r>
  <r>
    <x v="59"/>
    <x v="4"/>
    <x v="0"/>
    <n v="6165"/>
    <n v="2794"/>
    <n v="2130"/>
    <n v="19"/>
    <n v="70"/>
    <n v="101.4"/>
    <n v="1053"/>
  </r>
  <r>
    <x v="59"/>
    <x v="4"/>
    <x v="1"/>
    <n v="4015"/>
    <n v="3146"/>
    <n v="2202"/>
    <n v="37"/>
    <n v="83"/>
    <n v="166.11"/>
    <n v="740"/>
  </r>
  <r>
    <x v="60"/>
    <x v="0"/>
    <x v="0"/>
    <n v="17204"/>
    <n v="13833"/>
    <n v="10017"/>
    <n v="114"/>
    <n v="33"/>
    <n v="68.739999999999995"/>
    <n v="3565"/>
  </r>
  <r>
    <x v="60"/>
    <x v="0"/>
    <x v="1"/>
    <n v="6920"/>
    <n v="5258"/>
    <n v="2918"/>
    <n v="29"/>
    <n v="55"/>
    <n v="16.73"/>
    <n v="1553"/>
  </r>
  <r>
    <x v="60"/>
    <x v="1"/>
    <x v="0"/>
    <n v="4248"/>
    <n v="1475"/>
    <n v="2062"/>
    <n v="21"/>
    <n v="52"/>
    <n v="149.37"/>
    <n v="936"/>
  </r>
  <r>
    <x v="60"/>
    <x v="1"/>
    <x v="1"/>
    <n v="2474"/>
    <n v="1603"/>
    <n v="1195"/>
    <n v="15"/>
    <n v="702"/>
    <n v="113.91"/>
    <n v="371"/>
  </r>
  <r>
    <x v="60"/>
    <x v="2"/>
    <x v="0"/>
    <n v="8939"/>
    <n v="5101"/>
    <n v="5110"/>
    <n v="70"/>
    <n v="66"/>
    <n v="151.35"/>
    <n v="3454"/>
  </r>
  <r>
    <x v="60"/>
    <x v="2"/>
    <x v="1"/>
    <n v="7204"/>
    <n v="3100"/>
    <n v="2308"/>
    <n v="34"/>
    <n v="50"/>
    <n v="88.49"/>
    <n v="919"/>
  </r>
  <r>
    <x v="60"/>
    <x v="3"/>
    <x v="0"/>
    <n v="4904"/>
    <n v="2639"/>
    <n v="2267"/>
    <n v="43"/>
    <n v="65"/>
    <n v="93.93"/>
    <n v="1298"/>
  </r>
  <r>
    <x v="60"/>
    <x v="3"/>
    <x v="1"/>
    <n v="2829"/>
    <n v="1055"/>
    <n v="1362"/>
    <n v="39"/>
    <n v="86"/>
    <n v="104.59"/>
    <n v="876"/>
  </r>
  <r>
    <x v="60"/>
    <x v="4"/>
    <x v="0"/>
    <n v="8449"/>
    <n v="2514"/>
    <n v="2949"/>
    <n v="25"/>
    <n v="80"/>
    <n v="23.44"/>
    <n v="1129"/>
  </r>
  <r>
    <x v="60"/>
    <x v="4"/>
    <x v="1"/>
    <n v="3068"/>
    <n v="2624"/>
    <n v="1734"/>
    <n v="42"/>
    <n v="110"/>
    <n v="98.44"/>
    <n v="731"/>
  </r>
  <r>
    <x v="61"/>
    <x v="0"/>
    <x v="0"/>
    <n v="16096"/>
    <n v="4161"/>
    <n v="7342"/>
    <n v="48"/>
    <n v="78"/>
    <n v="173.37"/>
    <n v="5488"/>
  </r>
  <r>
    <x v="61"/>
    <x v="0"/>
    <x v="1"/>
    <n v="3610"/>
    <n v="3251"/>
    <n v="1973"/>
    <n v="46"/>
    <n v="60"/>
    <n v="69.510000000000005"/>
    <n v="1394"/>
  </r>
  <r>
    <x v="61"/>
    <x v="1"/>
    <x v="0"/>
    <n v="3739"/>
    <n v="3164"/>
    <n v="1208"/>
    <n v="27"/>
    <n v="786"/>
    <n v="139.87"/>
    <n v="455"/>
  </r>
  <r>
    <x v="61"/>
    <x v="1"/>
    <x v="1"/>
    <n v="3567"/>
    <n v="1487"/>
    <n v="2129"/>
    <n v="14"/>
    <n v="94"/>
    <n v="168.13"/>
    <n v="1294"/>
  </r>
  <r>
    <x v="61"/>
    <x v="2"/>
    <x v="0"/>
    <n v="9037"/>
    <n v="4028"/>
    <n v="3171"/>
    <n v="52"/>
    <n v="31"/>
    <n v="95.79"/>
    <n v="1030"/>
  </r>
  <r>
    <x v="61"/>
    <x v="2"/>
    <x v="1"/>
    <n v="7827"/>
    <n v="5558"/>
    <n v="2400"/>
    <n v="65"/>
    <n v="140"/>
    <n v="105.73"/>
    <n v="1788"/>
  </r>
  <r>
    <x v="61"/>
    <x v="3"/>
    <x v="0"/>
    <n v="3273"/>
    <n v="1529"/>
    <n v="1215"/>
    <n v="15"/>
    <n v="748"/>
    <n v="49.28"/>
    <n v="417"/>
  </r>
  <r>
    <x v="61"/>
    <x v="3"/>
    <x v="1"/>
    <n v="1808"/>
    <n v="1146"/>
    <n v="1043"/>
    <n v="12"/>
    <n v="678"/>
    <n v="121.83"/>
    <n v="347"/>
  </r>
  <r>
    <x v="61"/>
    <x v="4"/>
    <x v="0"/>
    <n v="6160"/>
    <n v="5880"/>
    <n v="3463"/>
    <n v="46"/>
    <n v="40"/>
    <n v="119.07"/>
    <n v="2334"/>
  </r>
  <r>
    <x v="61"/>
    <x v="4"/>
    <x v="1"/>
    <n v="4833"/>
    <n v="4563"/>
    <n v="2608"/>
    <n v="32"/>
    <n v="36"/>
    <n v="135.71"/>
    <n v="1175"/>
  </r>
  <r>
    <x v="62"/>
    <x v="0"/>
    <x v="0"/>
    <n v="5681"/>
    <n v="4768"/>
    <n v="3181"/>
    <n v="68"/>
    <n v="35"/>
    <n v="122.63"/>
    <n v="1040"/>
  </r>
  <r>
    <x v="62"/>
    <x v="0"/>
    <x v="1"/>
    <n v="3715"/>
    <n v="2358"/>
    <n v="1693"/>
    <n v="23"/>
    <n v="130"/>
    <n v="36.950000000000003"/>
    <n v="1267"/>
  </r>
  <r>
    <x v="62"/>
    <x v="1"/>
    <x v="0"/>
    <n v="11743"/>
    <n v="8991"/>
    <n v="5052"/>
    <n v="105"/>
    <n v="140"/>
    <n v="73.650000000000006"/>
    <n v="1806"/>
  </r>
  <r>
    <x v="62"/>
    <x v="1"/>
    <x v="1"/>
    <n v="6940"/>
    <n v="5318"/>
    <n v="3308"/>
    <n v="70"/>
    <n v="130"/>
    <n v="123.22"/>
    <n v="2390"/>
  </r>
  <r>
    <x v="62"/>
    <x v="2"/>
    <x v="0"/>
    <n v="11970"/>
    <n v="7643"/>
    <n v="4345"/>
    <n v="89"/>
    <n v="32"/>
    <n v="93.05"/>
    <n v="2755"/>
  </r>
  <r>
    <x v="62"/>
    <x v="2"/>
    <x v="1"/>
    <n v="7497"/>
    <n v="4843"/>
    <n v="3812"/>
    <n v="39"/>
    <n v="76"/>
    <n v="99.67"/>
    <n v="2117"/>
  </r>
  <r>
    <x v="62"/>
    <x v="3"/>
    <x v="0"/>
    <n v="5670"/>
    <n v="3159"/>
    <n v="3252"/>
    <n v="27"/>
    <n v="74"/>
    <n v="67.64"/>
    <n v="1065"/>
  </r>
  <r>
    <x v="62"/>
    <x v="3"/>
    <x v="1"/>
    <n v="2698"/>
    <n v="1611"/>
    <n v="1404"/>
    <n v="13"/>
    <n v="767"/>
    <n v="36.22"/>
    <n v="436"/>
  </r>
  <r>
    <x v="62"/>
    <x v="4"/>
    <x v="0"/>
    <n v="7831"/>
    <n v="4538"/>
    <n v="3819"/>
    <n v="27"/>
    <n v="40"/>
    <n v="56.85"/>
    <n v="2092"/>
  </r>
  <r>
    <x v="62"/>
    <x v="4"/>
    <x v="1"/>
    <n v="2819"/>
    <n v="1075"/>
    <n v="1574"/>
    <n v="39"/>
    <n v="130"/>
    <n v="118.45"/>
    <n v="881"/>
  </r>
  <r>
    <x v="63"/>
    <x v="0"/>
    <x v="0"/>
    <n v="17307"/>
    <n v="9507"/>
    <n v="9933"/>
    <n v="131"/>
    <n v="78"/>
    <n v="47.78"/>
    <n v="5537"/>
  </r>
  <r>
    <x v="63"/>
    <x v="0"/>
    <x v="1"/>
    <n v="3877"/>
    <n v="2004"/>
    <n v="1854"/>
    <n v="20"/>
    <n v="118"/>
    <n v="28.46"/>
    <n v="1048"/>
  </r>
  <r>
    <x v="63"/>
    <x v="1"/>
    <x v="0"/>
    <n v="4559"/>
    <n v="3467"/>
    <n v="2345"/>
    <n v="48"/>
    <n v="124"/>
    <n v="148.96"/>
    <n v="1315"/>
  </r>
  <r>
    <x v="63"/>
    <x v="1"/>
    <x v="1"/>
    <n v="7740"/>
    <n v="4017"/>
    <n v="3039"/>
    <n v="60"/>
    <n v="97"/>
    <n v="40.369999999999997"/>
    <n v="1313"/>
  </r>
  <r>
    <x v="63"/>
    <x v="2"/>
    <x v="0"/>
    <n v="7792"/>
    <n v="5836"/>
    <n v="4226"/>
    <n v="74"/>
    <n v="43"/>
    <n v="179.5"/>
    <n v="2952"/>
  </r>
  <r>
    <x v="63"/>
    <x v="2"/>
    <x v="1"/>
    <n v="6581"/>
    <n v="2940"/>
    <n v="2071"/>
    <n v="45"/>
    <n v="86"/>
    <n v="15.15"/>
    <n v="837"/>
  </r>
  <r>
    <x v="63"/>
    <x v="3"/>
    <x v="0"/>
    <n v="4717"/>
    <n v="1601"/>
    <n v="2123"/>
    <n v="24"/>
    <n v="52"/>
    <n v="140.4"/>
    <n v="1281"/>
  </r>
  <r>
    <x v="63"/>
    <x v="3"/>
    <x v="1"/>
    <n v="3279"/>
    <n v="2393"/>
    <n v="1594"/>
    <n v="38"/>
    <n v="51"/>
    <n v="65.06"/>
    <n v="1055"/>
  </r>
  <r>
    <x v="63"/>
    <x v="4"/>
    <x v="0"/>
    <n v="3107"/>
    <n v="2728"/>
    <n v="1074"/>
    <n v="18"/>
    <n v="812"/>
    <n v="174.26"/>
    <n v="481"/>
  </r>
  <r>
    <x v="63"/>
    <x v="4"/>
    <x v="1"/>
    <n v="7578"/>
    <n v="4956"/>
    <n v="3420"/>
    <n v="37"/>
    <n v="38"/>
    <n v="66.69"/>
    <n v="1506"/>
  </r>
  <r>
    <x v="64"/>
    <x v="0"/>
    <x v="0"/>
    <n v="12164"/>
    <n v="4953"/>
    <n v="4631"/>
    <n v="48"/>
    <n v="57"/>
    <n v="151.16"/>
    <n v="1803"/>
  </r>
  <r>
    <x v="64"/>
    <x v="0"/>
    <x v="1"/>
    <n v="9767"/>
    <n v="7627"/>
    <n v="5409"/>
    <n v="118"/>
    <n v="64"/>
    <n v="19.22"/>
    <n v="2068"/>
  </r>
  <r>
    <x v="64"/>
    <x v="1"/>
    <x v="0"/>
    <n v="9326"/>
    <n v="2658"/>
    <n v="3103"/>
    <n v="28"/>
    <n v="109"/>
    <n v="159.46"/>
    <n v="1278"/>
  </r>
  <r>
    <x v="64"/>
    <x v="1"/>
    <x v="1"/>
    <n v="6786"/>
    <n v="6154"/>
    <n v="3634"/>
    <n v="93"/>
    <n v="126"/>
    <n v="155.80000000000001"/>
    <n v="1538"/>
  </r>
  <r>
    <x v="64"/>
    <x v="2"/>
    <x v="0"/>
    <n v="4918"/>
    <n v="2354"/>
    <n v="2428"/>
    <n v="25"/>
    <n v="36"/>
    <n v="147.4"/>
    <n v="1286"/>
  </r>
  <r>
    <x v="64"/>
    <x v="2"/>
    <x v="1"/>
    <n v="5752"/>
    <n v="1402"/>
    <n v="1871"/>
    <n v="14"/>
    <n v="33"/>
    <n v="148.97"/>
    <n v="1136"/>
  </r>
  <r>
    <x v="64"/>
    <x v="3"/>
    <x v="0"/>
    <n v="4501"/>
    <n v="2018"/>
    <n v="2435"/>
    <n v="29"/>
    <n v="90"/>
    <n v="126.82"/>
    <n v="1811"/>
  </r>
  <r>
    <x v="64"/>
    <x v="3"/>
    <x v="1"/>
    <n v="3599"/>
    <n v="2483"/>
    <n v="1411"/>
    <n v="31"/>
    <n v="66"/>
    <n v="29.55"/>
    <n v="969"/>
  </r>
  <r>
    <x v="64"/>
    <x v="4"/>
    <x v="0"/>
    <n v="4895"/>
    <n v="1768"/>
    <n v="2274"/>
    <n v="26"/>
    <n v="34"/>
    <n v="114.71"/>
    <n v="876"/>
  </r>
  <r>
    <x v="64"/>
    <x v="4"/>
    <x v="1"/>
    <n v="6801"/>
    <n v="5515"/>
    <n v="3943"/>
    <n v="91"/>
    <n v="30"/>
    <n v="125.72"/>
    <n v="2840"/>
  </r>
  <r>
    <x v="65"/>
    <x v="0"/>
    <x v="0"/>
    <n v="14864"/>
    <n v="13436"/>
    <n v="5816"/>
    <n v="89"/>
    <n v="55"/>
    <n v="68.81"/>
    <n v="2109"/>
  </r>
  <r>
    <x v="65"/>
    <x v="0"/>
    <x v="1"/>
    <n v="4890"/>
    <n v="4558"/>
    <n v="2393"/>
    <n v="59"/>
    <n v="88"/>
    <n v="157.47"/>
    <n v="1009"/>
  </r>
  <r>
    <x v="65"/>
    <x v="1"/>
    <x v="0"/>
    <n v="7820"/>
    <n v="6242"/>
    <n v="2673"/>
    <n v="60"/>
    <n v="60"/>
    <n v="24.27"/>
    <n v="815"/>
  </r>
  <r>
    <x v="65"/>
    <x v="1"/>
    <x v="1"/>
    <n v="3670"/>
    <n v="1824"/>
    <n v="1674"/>
    <n v="16"/>
    <n v="116"/>
    <n v="98.78"/>
    <n v="834"/>
  </r>
  <r>
    <x v="65"/>
    <x v="2"/>
    <x v="0"/>
    <n v="5787"/>
    <n v="1652"/>
    <n v="2559"/>
    <n v="16"/>
    <n v="116"/>
    <n v="83.5"/>
    <n v="1287"/>
  </r>
  <r>
    <x v="65"/>
    <x v="2"/>
    <x v="1"/>
    <n v="3058"/>
    <n v="1638"/>
    <n v="1738"/>
    <n v="24"/>
    <n v="30"/>
    <n v="60.68"/>
    <n v="1189"/>
  </r>
  <r>
    <x v="65"/>
    <x v="3"/>
    <x v="0"/>
    <n v="2265"/>
    <n v="1770"/>
    <n v="2110"/>
    <n v="19"/>
    <n v="127"/>
    <n v="57.83"/>
    <n v="510"/>
  </r>
  <r>
    <x v="65"/>
    <x v="3"/>
    <x v="1"/>
    <n v="3957"/>
    <n v="1932"/>
    <n v="1429"/>
    <n v="11"/>
    <n v="73"/>
    <n v="106.38"/>
    <n v="698"/>
  </r>
  <r>
    <x v="65"/>
    <x v="4"/>
    <x v="0"/>
    <n v="7505"/>
    <n v="6361"/>
    <n v="2629"/>
    <n v="87"/>
    <n v="70"/>
    <n v="134.26"/>
    <n v="931"/>
  </r>
  <r>
    <x v="65"/>
    <x v="4"/>
    <x v="1"/>
    <n v="7273"/>
    <n v="4000"/>
    <n v="3300"/>
    <n v="26"/>
    <n v="52"/>
    <n v="132.32"/>
    <n v="1508"/>
  </r>
  <r>
    <x v="66"/>
    <x v="0"/>
    <x v="0"/>
    <n v="13811"/>
    <n v="4414"/>
    <n v="8263"/>
    <n v="24"/>
    <n v="83"/>
    <n v="60.29"/>
    <n v="3344"/>
  </r>
  <r>
    <x v="66"/>
    <x v="0"/>
    <x v="1"/>
    <n v="11976"/>
    <n v="6252"/>
    <n v="4819"/>
    <n v="90"/>
    <n v="107"/>
    <n v="142.58000000000001"/>
    <n v="2409"/>
  </r>
  <r>
    <x v="66"/>
    <x v="1"/>
    <x v="0"/>
    <n v="9867"/>
    <n v="2438"/>
    <n v="4324"/>
    <n v="34"/>
    <n v="123"/>
    <n v="107.8"/>
    <n v="3221"/>
  </r>
  <r>
    <x v="66"/>
    <x v="1"/>
    <x v="1"/>
    <n v="7967"/>
    <n v="3338"/>
    <n v="4761"/>
    <n v="38"/>
    <n v="35"/>
    <n v="156.69999999999999"/>
    <n v="3266"/>
  </r>
  <r>
    <x v="66"/>
    <x v="2"/>
    <x v="0"/>
    <n v="11245"/>
    <n v="5965"/>
    <n v="6136"/>
    <n v="46"/>
    <n v="51"/>
    <n v="65.790000000000006"/>
    <n v="2772"/>
  </r>
  <r>
    <x v="66"/>
    <x v="2"/>
    <x v="1"/>
    <n v="2096"/>
    <n v="709"/>
    <n v="1958"/>
    <n v="41"/>
    <n v="698"/>
    <n v="83.87"/>
    <n v="367"/>
  </r>
  <r>
    <x v="66"/>
    <x v="3"/>
    <x v="0"/>
    <n v="3429"/>
    <n v="1905"/>
    <n v="1860"/>
    <n v="31"/>
    <n v="78"/>
    <n v="70.989999999999995"/>
    <n v="1175"/>
  </r>
  <r>
    <x v="66"/>
    <x v="3"/>
    <x v="1"/>
    <n v="3128"/>
    <n v="1421"/>
    <n v="1239"/>
    <n v="12"/>
    <n v="794"/>
    <n v="133.46"/>
    <n v="463"/>
  </r>
  <r>
    <x v="66"/>
    <x v="4"/>
    <x v="0"/>
    <n v="4146"/>
    <n v="1364"/>
    <n v="2375"/>
    <n v="41"/>
    <n v="36"/>
    <n v="27.85"/>
    <n v="916"/>
  </r>
  <r>
    <x v="66"/>
    <x v="4"/>
    <x v="1"/>
    <n v="2071"/>
    <n v="1208"/>
    <n v="1921"/>
    <n v="16"/>
    <n v="683"/>
    <n v="99.44"/>
    <n v="352"/>
  </r>
  <r>
    <x v="67"/>
    <x v="0"/>
    <x v="0"/>
    <n v="15617"/>
    <n v="13152"/>
    <n v="4752"/>
    <n v="143"/>
    <n v="50"/>
    <n v="61.89"/>
    <n v="3143"/>
  </r>
  <r>
    <x v="67"/>
    <x v="0"/>
    <x v="1"/>
    <n v="6580"/>
    <n v="5740"/>
    <n v="3463"/>
    <n v="92"/>
    <n v="61"/>
    <n v="42.65"/>
    <n v="1733"/>
  </r>
  <r>
    <x v="67"/>
    <x v="1"/>
    <x v="0"/>
    <n v="7990"/>
    <n v="4490"/>
    <n v="3966"/>
    <n v="66"/>
    <n v="41"/>
    <n v="105.26"/>
    <n v="1924"/>
  </r>
  <r>
    <x v="67"/>
    <x v="1"/>
    <x v="1"/>
    <n v="5765"/>
    <n v="4676"/>
    <n v="2051"/>
    <n v="35"/>
    <n v="35"/>
    <n v="172.35"/>
    <n v="1493"/>
  </r>
  <r>
    <x v="67"/>
    <x v="2"/>
    <x v="0"/>
    <n v="7162"/>
    <n v="5507"/>
    <n v="3981"/>
    <n v="72"/>
    <n v="137"/>
    <n v="140.97999999999999"/>
    <n v="1402"/>
  </r>
  <r>
    <x v="67"/>
    <x v="2"/>
    <x v="1"/>
    <n v="5110"/>
    <n v="3096"/>
    <n v="2266"/>
    <n v="38"/>
    <n v="66"/>
    <n v="46.68"/>
    <n v="1167"/>
  </r>
  <r>
    <x v="67"/>
    <x v="3"/>
    <x v="0"/>
    <n v="4121"/>
    <n v="2325"/>
    <n v="2158"/>
    <n v="26"/>
    <n v="85"/>
    <n v="26.39"/>
    <n v="1450"/>
  </r>
  <r>
    <x v="67"/>
    <x v="3"/>
    <x v="1"/>
    <n v="1729"/>
    <n v="805"/>
    <n v="1916"/>
    <n v="10"/>
    <n v="589"/>
    <n v="106.07"/>
    <n v="258"/>
  </r>
  <r>
    <x v="67"/>
    <x v="4"/>
    <x v="0"/>
    <n v="7259"/>
    <n v="2433"/>
    <n v="2695"/>
    <n v="18"/>
    <n v="93"/>
    <n v="111.77"/>
    <n v="1172"/>
  </r>
  <r>
    <x v="67"/>
    <x v="4"/>
    <x v="1"/>
    <n v="4470"/>
    <n v="2239"/>
    <n v="1615"/>
    <n v="33"/>
    <n v="92"/>
    <n v="77.41"/>
    <n v="825"/>
  </r>
  <r>
    <x v="68"/>
    <x v="0"/>
    <x v="0"/>
    <n v="10131"/>
    <n v="8877"/>
    <n v="5118"/>
    <n v="80"/>
    <n v="54"/>
    <n v="24.2"/>
    <n v="1594"/>
  </r>
  <r>
    <x v="68"/>
    <x v="0"/>
    <x v="1"/>
    <n v="10433"/>
    <n v="5211"/>
    <n v="3762"/>
    <n v="31"/>
    <n v="118"/>
    <n v="29.81"/>
    <n v="2052"/>
  </r>
  <r>
    <x v="68"/>
    <x v="1"/>
    <x v="0"/>
    <n v="9281"/>
    <n v="7900"/>
    <n v="3468"/>
    <n v="76"/>
    <n v="45"/>
    <n v="41.68"/>
    <n v="2308"/>
  </r>
  <r>
    <x v="68"/>
    <x v="1"/>
    <x v="1"/>
    <n v="6966"/>
    <n v="3954"/>
    <n v="1104"/>
    <n v="26"/>
    <n v="169"/>
    <n v="103.2"/>
    <n v="2551"/>
  </r>
  <r>
    <x v="68"/>
    <x v="2"/>
    <x v="0"/>
    <n v="4393"/>
    <n v="3359"/>
    <n v="2108"/>
    <n v="29"/>
    <n v="31"/>
    <n v="70.91"/>
    <n v="823"/>
  </r>
  <r>
    <x v="68"/>
    <x v="2"/>
    <x v="1"/>
    <n v="5002"/>
    <n v="3008"/>
    <n v="2369"/>
    <n v="35"/>
    <n v="102"/>
    <n v="91.73"/>
    <n v="769"/>
  </r>
  <r>
    <x v="68"/>
    <x v="3"/>
    <x v="0"/>
    <n v="1799"/>
    <n v="1562"/>
    <n v="2016"/>
    <n v="9"/>
    <n v="822"/>
    <n v="151.85"/>
    <n v="491"/>
  </r>
  <r>
    <x v="68"/>
    <x v="3"/>
    <x v="1"/>
    <n v="3279"/>
    <n v="1617"/>
    <n v="1543"/>
    <n v="25"/>
    <n v="84"/>
    <n v="134.63999999999999"/>
    <n v="992"/>
  </r>
  <r>
    <x v="68"/>
    <x v="4"/>
    <x v="0"/>
    <n v="7330"/>
    <n v="6237"/>
    <n v="3945"/>
    <n v="58"/>
    <n v="48"/>
    <n v="104.86"/>
    <n v="2854"/>
  </r>
  <r>
    <x v="68"/>
    <x v="4"/>
    <x v="1"/>
    <n v="7078"/>
    <n v="6005"/>
    <n v="2232"/>
    <n v="58"/>
    <n v="120"/>
    <n v="138.58000000000001"/>
    <n v="1073"/>
  </r>
  <r>
    <x v="69"/>
    <x v="0"/>
    <x v="0"/>
    <n v="16332"/>
    <n v="11201"/>
    <n v="8142"/>
    <n v="119"/>
    <n v="78"/>
    <n v="63.17"/>
    <n v="3245"/>
  </r>
  <r>
    <x v="69"/>
    <x v="0"/>
    <x v="1"/>
    <n v="5780"/>
    <n v="1498"/>
    <n v="1918"/>
    <n v="14"/>
    <n v="61"/>
    <n v="85.47"/>
    <n v="1034"/>
  </r>
  <r>
    <x v="69"/>
    <x v="1"/>
    <x v="0"/>
    <n v="9929"/>
    <n v="4525"/>
    <n v="4574"/>
    <n v="73"/>
    <n v="40"/>
    <n v="35.369999999999997"/>
    <n v="2645"/>
  </r>
  <r>
    <x v="69"/>
    <x v="1"/>
    <x v="1"/>
    <n v="4827"/>
    <n v="2648"/>
    <n v="1480"/>
    <n v="15"/>
    <n v="34"/>
    <n v="153.44999999999999"/>
    <n v="682"/>
  </r>
  <r>
    <x v="69"/>
    <x v="2"/>
    <x v="0"/>
    <n v="6299"/>
    <n v="4859"/>
    <n v="3664"/>
    <n v="73"/>
    <n v="119"/>
    <n v="84.02"/>
    <n v="1911"/>
  </r>
  <r>
    <x v="69"/>
    <x v="2"/>
    <x v="1"/>
    <n v="6641"/>
    <n v="3227"/>
    <n v="2129"/>
    <n v="40"/>
    <n v="89"/>
    <n v="153.94999999999999"/>
    <n v="1498"/>
  </r>
  <r>
    <x v="69"/>
    <x v="3"/>
    <x v="0"/>
    <n v="3110"/>
    <n v="2083"/>
    <n v="1374"/>
    <n v="20"/>
    <n v="76"/>
    <n v="155.47999999999999"/>
    <n v="941"/>
  </r>
  <r>
    <x v="69"/>
    <x v="3"/>
    <x v="1"/>
    <n v="2300"/>
    <n v="1838"/>
    <n v="2028"/>
    <n v="27"/>
    <n v="734"/>
    <n v="145.19"/>
    <n v="403"/>
  </r>
  <r>
    <x v="69"/>
    <x v="4"/>
    <x v="0"/>
    <n v="3619"/>
    <n v="2524"/>
    <n v="1316"/>
    <n v="18"/>
    <n v="750"/>
    <n v="131.22"/>
    <n v="419"/>
  </r>
  <r>
    <x v="69"/>
    <x v="4"/>
    <x v="1"/>
    <n v="2656"/>
    <n v="1913"/>
    <n v="1556"/>
    <n v="19"/>
    <n v="37"/>
    <n v="30.3"/>
    <n v="971"/>
  </r>
  <r>
    <x v="70"/>
    <x v="0"/>
    <x v="0"/>
    <n v="4991"/>
    <n v="1387"/>
    <n v="1679"/>
    <n v="19"/>
    <n v="52"/>
    <n v="24.46"/>
    <n v="732"/>
  </r>
  <r>
    <x v="70"/>
    <x v="0"/>
    <x v="1"/>
    <n v="9706"/>
    <n v="3491"/>
    <n v="4709"/>
    <n v="33"/>
    <n v="137"/>
    <n v="35.03"/>
    <n v="3468"/>
  </r>
  <r>
    <x v="70"/>
    <x v="1"/>
    <x v="0"/>
    <n v="8113"/>
    <n v="5403"/>
    <n v="4056"/>
    <n v="39"/>
    <n v="51"/>
    <n v="82.3"/>
    <n v="2355"/>
  </r>
  <r>
    <x v="70"/>
    <x v="1"/>
    <x v="1"/>
    <n v="2670"/>
    <n v="902"/>
    <n v="1452"/>
    <n v="12"/>
    <n v="37"/>
    <n v="86.98"/>
    <n v="604"/>
  </r>
  <r>
    <x v="70"/>
    <x v="2"/>
    <x v="0"/>
    <n v="6387"/>
    <n v="5469"/>
    <n v="3459"/>
    <n v="75"/>
    <n v="71"/>
    <n v="167.24"/>
    <n v="1251"/>
  </r>
  <r>
    <x v="70"/>
    <x v="2"/>
    <x v="1"/>
    <n v="6969"/>
    <n v="3117"/>
    <n v="3839"/>
    <n v="42"/>
    <n v="34"/>
    <n v="166.89"/>
    <n v="2642"/>
  </r>
  <r>
    <x v="70"/>
    <x v="3"/>
    <x v="0"/>
    <n v="4071"/>
    <n v="1122"/>
    <n v="1298"/>
    <n v="14"/>
    <n v="104"/>
    <n v="44.63"/>
    <n v="579"/>
  </r>
  <r>
    <x v="70"/>
    <x v="3"/>
    <x v="1"/>
    <n v="2240"/>
    <n v="919"/>
    <n v="2173"/>
    <n v="10"/>
    <n v="651"/>
    <n v="154.54"/>
    <n v="320"/>
  </r>
  <r>
    <x v="70"/>
    <x v="4"/>
    <x v="0"/>
    <n v="8708"/>
    <n v="3312"/>
    <n v="4620"/>
    <n v="36"/>
    <n v="52"/>
    <n v="145.66999999999999"/>
    <n v="1515"/>
  </r>
  <r>
    <x v="70"/>
    <x v="4"/>
    <x v="1"/>
    <n v="4480"/>
    <n v="1245"/>
    <n v="1502"/>
    <n v="18"/>
    <n v="812"/>
    <n v="56.4"/>
    <n v="481"/>
  </r>
  <r>
    <x v="71"/>
    <x v="0"/>
    <x v="0"/>
    <n v="10865"/>
    <n v="5683"/>
    <n v="6065"/>
    <n v="69"/>
    <n v="64"/>
    <n v="67.06"/>
    <n v="2764"/>
  </r>
  <r>
    <x v="71"/>
    <x v="0"/>
    <x v="1"/>
    <n v="10294"/>
    <n v="9028"/>
    <n v="4336"/>
    <n v="69"/>
    <n v="38"/>
    <n v="157.74"/>
    <n v="3239"/>
  </r>
  <r>
    <x v="71"/>
    <x v="1"/>
    <x v="0"/>
    <n v="3565"/>
    <n v="1586"/>
    <n v="1977"/>
    <n v="17"/>
    <n v="43"/>
    <n v="58.76"/>
    <n v="1202"/>
  </r>
  <r>
    <x v="71"/>
    <x v="1"/>
    <x v="1"/>
    <n v="4336"/>
    <n v="2033"/>
    <n v="1374"/>
    <n v="32"/>
    <n v="83"/>
    <n v="42.16"/>
    <n v="712"/>
  </r>
  <r>
    <x v="71"/>
    <x v="2"/>
    <x v="0"/>
    <n v="9867"/>
    <n v="4142"/>
    <n v="5482"/>
    <n v="37"/>
    <n v="105"/>
    <n v="164.53"/>
    <n v="3024"/>
  </r>
  <r>
    <x v="71"/>
    <x v="2"/>
    <x v="1"/>
    <n v="2452"/>
    <n v="2290"/>
    <n v="1179"/>
    <n v="22"/>
    <n v="727"/>
    <n v="155.41"/>
    <n v="396"/>
  </r>
  <r>
    <x v="71"/>
    <x v="3"/>
    <x v="0"/>
    <n v="5555"/>
    <n v="1837"/>
    <n v="2943"/>
    <n v="22"/>
    <n v="62"/>
    <n v="46.67"/>
    <n v="1421"/>
  </r>
  <r>
    <x v="71"/>
    <x v="3"/>
    <x v="1"/>
    <n v="1578"/>
    <n v="687"/>
    <n v="2087"/>
    <n v="39"/>
    <n v="780"/>
    <n v="64.66"/>
    <n v="449"/>
  </r>
  <r>
    <x v="71"/>
    <x v="4"/>
    <x v="0"/>
    <n v="5294"/>
    <n v="1860"/>
    <n v="1920"/>
    <n v="17"/>
    <n v="30"/>
    <n v="68.819999999999993"/>
    <n v="1177"/>
  </r>
  <r>
    <x v="71"/>
    <x v="4"/>
    <x v="1"/>
    <n v="4656"/>
    <n v="1964"/>
    <n v="2580"/>
    <n v="20"/>
    <n v="115"/>
    <n v="177.66"/>
    <n v="1013"/>
  </r>
  <r>
    <x v="72"/>
    <x v="0"/>
    <x v="0"/>
    <n v="8740"/>
    <n v="5655"/>
    <n v="2712"/>
    <n v="30"/>
    <n v="81"/>
    <n v="29.31"/>
    <n v="1358"/>
  </r>
  <r>
    <x v="72"/>
    <x v="0"/>
    <x v="1"/>
    <n v="9458"/>
    <n v="5014"/>
    <n v="4600"/>
    <n v="62"/>
    <n v="39"/>
    <n v="138.97999999999999"/>
    <n v="1630"/>
  </r>
  <r>
    <x v="72"/>
    <x v="1"/>
    <x v="0"/>
    <n v="4599"/>
    <n v="2719"/>
    <n v="1517"/>
    <n v="39"/>
    <n v="102"/>
    <n v="130.63"/>
    <n v="747"/>
  </r>
  <r>
    <x v="72"/>
    <x v="1"/>
    <x v="1"/>
    <n v="2489"/>
    <n v="2253"/>
    <n v="1984"/>
    <n v="37"/>
    <n v="644"/>
    <n v="78.89"/>
    <n v="313"/>
  </r>
  <r>
    <x v="72"/>
    <x v="2"/>
    <x v="0"/>
    <n v="5641"/>
    <n v="2180"/>
    <n v="3247"/>
    <n v="35"/>
    <n v="38"/>
    <n v="77.239999999999995"/>
    <n v="1043"/>
  </r>
  <r>
    <x v="72"/>
    <x v="2"/>
    <x v="1"/>
    <n v="5854"/>
    <n v="4056"/>
    <n v="3250"/>
    <n v="51"/>
    <n v="88"/>
    <n v="68.83"/>
    <n v="2058"/>
  </r>
  <r>
    <x v="72"/>
    <x v="3"/>
    <x v="0"/>
    <n v="2760"/>
    <n v="1841"/>
    <n v="2151"/>
    <n v="20"/>
    <n v="715"/>
    <n v="24.65"/>
    <n v="384"/>
  </r>
  <r>
    <x v="72"/>
    <x v="3"/>
    <x v="1"/>
    <n v="3266"/>
    <n v="1464"/>
    <n v="1630"/>
    <n v="14"/>
    <n v="89"/>
    <n v="111.25"/>
    <n v="576"/>
  </r>
  <r>
    <x v="72"/>
    <x v="4"/>
    <x v="0"/>
    <n v="6173"/>
    <n v="4477"/>
    <n v="2480"/>
    <n v="23"/>
    <n v="95"/>
    <n v="82.77"/>
    <n v="1632"/>
  </r>
  <r>
    <x v="72"/>
    <x v="4"/>
    <x v="1"/>
    <n v="6175"/>
    <n v="2622"/>
    <n v="2095"/>
    <n v="42"/>
    <n v="37"/>
    <n v="176.54"/>
    <n v="1380"/>
  </r>
  <r>
    <x v="73"/>
    <x v="0"/>
    <x v="0"/>
    <n v="12839"/>
    <n v="7838"/>
    <n v="5650"/>
    <n v="117"/>
    <n v="90"/>
    <n v="88.19"/>
    <n v="2609"/>
  </r>
  <r>
    <x v="73"/>
    <x v="0"/>
    <x v="1"/>
    <n v="10948"/>
    <n v="4952"/>
    <n v="5770"/>
    <n v="52"/>
    <n v="41"/>
    <n v="94.29"/>
    <n v="3521"/>
  </r>
  <r>
    <x v="73"/>
    <x v="1"/>
    <x v="0"/>
    <n v="7176"/>
    <n v="2296"/>
    <n v="3718"/>
    <n v="12"/>
    <n v="41"/>
    <n v="107.02"/>
    <n v="2577"/>
  </r>
  <r>
    <x v="73"/>
    <x v="1"/>
    <x v="1"/>
    <n v="6998"/>
    <n v="5824"/>
    <n v="2942"/>
    <n v="50"/>
    <n v="58"/>
    <n v="46.79"/>
    <n v="1548"/>
  </r>
  <r>
    <x v="73"/>
    <x v="2"/>
    <x v="0"/>
    <n v="5494"/>
    <n v="3348"/>
    <n v="3252"/>
    <n v="45"/>
    <n v="130"/>
    <n v="69.900000000000006"/>
    <n v="1270"/>
  </r>
  <r>
    <x v="73"/>
    <x v="2"/>
    <x v="1"/>
    <n v="5495"/>
    <n v="4565"/>
    <n v="2401"/>
    <n v="23"/>
    <n v="145"/>
    <n v="90.96"/>
    <n v="1076"/>
  </r>
  <r>
    <x v="73"/>
    <x v="3"/>
    <x v="0"/>
    <n v="1914"/>
    <n v="944"/>
    <n v="2087"/>
    <n v="12"/>
    <n v="642"/>
    <n v="45.41"/>
    <n v="311"/>
  </r>
  <r>
    <x v="73"/>
    <x v="3"/>
    <x v="1"/>
    <n v="2578"/>
    <n v="766"/>
    <n v="2002"/>
    <n v="37"/>
    <n v="635"/>
    <n v="85.68"/>
    <n v="304"/>
  </r>
  <r>
    <x v="73"/>
    <x v="4"/>
    <x v="0"/>
    <n v="11332"/>
    <n v="5088"/>
    <n v="3780"/>
    <n v="59"/>
    <n v="85"/>
    <n v="103.36"/>
    <n v="2171"/>
  </r>
  <r>
    <x v="73"/>
    <x v="4"/>
    <x v="1"/>
    <n v="4199"/>
    <n v="1766"/>
    <n v="2404"/>
    <n v="19"/>
    <n v="76"/>
    <n v="167.94"/>
    <n v="1571"/>
  </r>
  <r>
    <x v="74"/>
    <x v="0"/>
    <x v="0"/>
    <n v="17222"/>
    <n v="15676"/>
    <n v="7994"/>
    <n v="87"/>
    <n v="68"/>
    <n v="110.67"/>
    <n v="5601"/>
  </r>
  <r>
    <x v="74"/>
    <x v="0"/>
    <x v="1"/>
    <n v="11413"/>
    <n v="10562"/>
    <n v="5851"/>
    <n v="154"/>
    <n v="39"/>
    <n v="28.62"/>
    <n v="3303"/>
  </r>
  <r>
    <x v="74"/>
    <x v="1"/>
    <x v="0"/>
    <n v="9952"/>
    <n v="7618"/>
    <n v="3176"/>
    <n v="70"/>
    <n v="46"/>
    <n v="65.03"/>
    <n v="1059"/>
  </r>
  <r>
    <x v="74"/>
    <x v="1"/>
    <x v="1"/>
    <n v="5247"/>
    <n v="3952"/>
    <n v="1981"/>
    <n v="38"/>
    <n v="34"/>
    <n v="169.71"/>
    <n v="904"/>
  </r>
  <r>
    <x v="74"/>
    <x v="2"/>
    <x v="0"/>
    <n v="8217"/>
    <n v="2512"/>
    <n v="4833"/>
    <n v="17"/>
    <n v="43"/>
    <n v="89.24"/>
    <n v="2619"/>
  </r>
  <r>
    <x v="74"/>
    <x v="2"/>
    <x v="1"/>
    <n v="7979"/>
    <n v="6216"/>
    <n v="4469"/>
    <n v="46"/>
    <n v="55"/>
    <n v="81.93"/>
    <n v="3263"/>
  </r>
  <r>
    <x v="74"/>
    <x v="3"/>
    <x v="0"/>
    <n v="5315"/>
    <n v="1489"/>
    <n v="1686"/>
    <n v="10"/>
    <n v="89"/>
    <n v="104.72"/>
    <n v="1147"/>
  </r>
  <r>
    <x v="74"/>
    <x v="3"/>
    <x v="1"/>
    <n v="1822"/>
    <n v="825"/>
    <n v="2125"/>
    <n v="38"/>
    <n v="659"/>
    <n v="43.13"/>
    <n v="328"/>
  </r>
  <r>
    <x v="74"/>
    <x v="4"/>
    <x v="0"/>
    <n v="8040"/>
    <n v="7114"/>
    <n v="2990"/>
    <n v="38"/>
    <n v="38"/>
    <n v="146.44999999999999"/>
    <n v="940"/>
  </r>
  <r>
    <x v="74"/>
    <x v="4"/>
    <x v="1"/>
    <n v="7470"/>
    <n v="6149"/>
    <n v="2744"/>
    <n v="48"/>
    <n v="33"/>
    <n v="45.59"/>
    <n v="1446"/>
  </r>
  <r>
    <x v="75"/>
    <x v="0"/>
    <x v="0"/>
    <n v="15651"/>
    <n v="9515"/>
    <n v="9235"/>
    <n v="97"/>
    <n v="48"/>
    <n v="158.97"/>
    <n v="5144"/>
  </r>
  <r>
    <x v="75"/>
    <x v="0"/>
    <x v="1"/>
    <n v="11036"/>
    <n v="9545"/>
    <n v="5688"/>
    <n v="113"/>
    <n v="82"/>
    <n v="58.31"/>
    <n v="2659"/>
  </r>
  <r>
    <x v="75"/>
    <x v="1"/>
    <x v="0"/>
    <n v="4464"/>
    <n v="3858"/>
    <n v="2634"/>
    <n v="30"/>
    <n v="38"/>
    <n v="128.87"/>
    <n v="1926"/>
  </r>
  <r>
    <x v="75"/>
    <x v="1"/>
    <x v="1"/>
    <n v="4524"/>
    <n v="4234"/>
    <n v="1793"/>
    <n v="43"/>
    <n v="30"/>
    <n v="34.72"/>
    <n v="962"/>
  </r>
  <r>
    <x v="75"/>
    <x v="2"/>
    <x v="0"/>
    <n v="10908"/>
    <n v="3023"/>
    <n v="4536"/>
    <n v="17"/>
    <n v="143"/>
    <n v="171.51"/>
    <n v="2082"/>
  </r>
  <r>
    <x v="75"/>
    <x v="2"/>
    <x v="1"/>
    <n v="4296"/>
    <n v="1625"/>
    <n v="2545"/>
    <n v="14"/>
    <n v="83"/>
    <n v="177.25"/>
    <n v="1234"/>
  </r>
  <r>
    <x v="75"/>
    <x v="3"/>
    <x v="0"/>
    <n v="3095"/>
    <n v="1645"/>
    <n v="1717"/>
    <n v="41"/>
    <n v="78"/>
    <n v="25.58"/>
    <n v="810"/>
  </r>
  <r>
    <x v="75"/>
    <x v="3"/>
    <x v="1"/>
    <n v="1711"/>
    <n v="1626"/>
    <n v="1929"/>
    <n v="13"/>
    <n v="767"/>
    <n v="90.95"/>
    <n v="436"/>
  </r>
  <r>
    <x v="75"/>
    <x v="4"/>
    <x v="0"/>
    <n v="6649"/>
    <n v="6085"/>
    <n v="2232"/>
    <n v="78"/>
    <n v="146"/>
    <n v="117.34"/>
    <n v="739"/>
  </r>
  <r>
    <x v="75"/>
    <x v="4"/>
    <x v="1"/>
    <n v="4198"/>
    <n v="3660"/>
    <n v="2160"/>
    <n v="22"/>
    <n v="39"/>
    <n v="50.88"/>
    <n v="912"/>
  </r>
  <r>
    <x v="76"/>
    <x v="0"/>
    <x v="0"/>
    <n v="14366"/>
    <n v="4888"/>
    <n v="8066"/>
    <n v="74"/>
    <n v="82"/>
    <n v="26.23"/>
    <n v="3938"/>
  </r>
  <r>
    <x v="76"/>
    <x v="0"/>
    <x v="1"/>
    <n v="8101"/>
    <n v="4036"/>
    <n v="3480"/>
    <n v="33"/>
    <n v="144"/>
    <n v="74.349999999999994"/>
    <n v="1187"/>
  </r>
  <r>
    <x v="76"/>
    <x v="1"/>
    <x v="0"/>
    <n v="6542"/>
    <n v="2431"/>
    <n v="3210"/>
    <n v="19"/>
    <n v="99"/>
    <n v="69.349999999999994"/>
    <n v="2397"/>
  </r>
  <r>
    <x v="76"/>
    <x v="1"/>
    <x v="1"/>
    <n v="6983"/>
    <n v="6031"/>
    <n v="2382"/>
    <n v="61"/>
    <n v="40"/>
    <n v="134.96"/>
    <n v="1639"/>
  </r>
  <r>
    <x v="76"/>
    <x v="2"/>
    <x v="0"/>
    <n v="11651"/>
    <n v="9942"/>
    <n v="3860"/>
    <n v="56"/>
    <n v="54"/>
    <n v="80.47"/>
    <n v="2146"/>
  </r>
  <r>
    <x v="76"/>
    <x v="2"/>
    <x v="1"/>
    <n v="3583"/>
    <n v="2326"/>
    <n v="1585"/>
    <n v="19"/>
    <n v="34"/>
    <n v="43.74"/>
    <n v="713"/>
  </r>
  <r>
    <x v="76"/>
    <x v="3"/>
    <x v="0"/>
    <n v="4536"/>
    <n v="3152"/>
    <n v="1431"/>
    <n v="35"/>
    <n v="50"/>
    <n v="168.39"/>
    <n v="579"/>
  </r>
  <r>
    <x v="76"/>
    <x v="3"/>
    <x v="1"/>
    <n v="3137"/>
    <n v="1891"/>
    <n v="1184"/>
    <n v="17"/>
    <n v="49"/>
    <n v="90.09"/>
    <n v="602"/>
  </r>
  <r>
    <x v="76"/>
    <x v="4"/>
    <x v="0"/>
    <n v="9339"/>
    <n v="6999"/>
    <n v="4975"/>
    <n v="44"/>
    <n v="113"/>
    <n v="87.38"/>
    <n v="3302"/>
  </r>
  <r>
    <x v="76"/>
    <x v="4"/>
    <x v="1"/>
    <n v="7882"/>
    <n v="6626"/>
    <n v="3893"/>
    <n v="78"/>
    <n v="30"/>
    <n v="120.43"/>
    <n v="1971"/>
  </r>
  <r>
    <x v="77"/>
    <x v="0"/>
    <x v="0"/>
    <n v="17737"/>
    <n v="15319"/>
    <n v="6899"/>
    <n v="166"/>
    <n v="72"/>
    <n v="146.18"/>
    <n v="2893"/>
  </r>
  <r>
    <x v="77"/>
    <x v="0"/>
    <x v="1"/>
    <n v="6821"/>
    <n v="2143"/>
    <n v="3046"/>
    <n v="25"/>
    <n v="50"/>
    <n v="165.26"/>
    <n v="1632"/>
  </r>
  <r>
    <x v="77"/>
    <x v="1"/>
    <x v="0"/>
    <n v="11042"/>
    <n v="9550"/>
    <n v="5386"/>
    <n v="140"/>
    <n v="136"/>
    <n v="88.4"/>
    <n v="1798"/>
  </r>
  <r>
    <x v="77"/>
    <x v="1"/>
    <x v="1"/>
    <n v="5910"/>
    <n v="2524"/>
    <n v="3445"/>
    <n v="24"/>
    <n v="101"/>
    <n v="98.65"/>
    <n v="1980"/>
  </r>
  <r>
    <x v="77"/>
    <x v="2"/>
    <x v="0"/>
    <n v="7388"/>
    <n v="5688"/>
    <n v="3633"/>
    <n v="47"/>
    <n v="61"/>
    <n v="145.19999999999999"/>
    <n v="1647"/>
  </r>
  <r>
    <x v="77"/>
    <x v="2"/>
    <x v="1"/>
    <n v="6926"/>
    <n v="6303"/>
    <n v="3526"/>
    <n v="33"/>
    <n v="129"/>
    <n v="72.38"/>
    <n v="2208"/>
  </r>
  <r>
    <x v="77"/>
    <x v="3"/>
    <x v="0"/>
    <n v="2748"/>
    <n v="789"/>
    <n v="1357"/>
    <n v="11"/>
    <n v="77"/>
    <n v="57.09"/>
    <n v="803"/>
  </r>
  <r>
    <x v="77"/>
    <x v="3"/>
    <x v="1"/>
    <n v="1589"/>
    <n v="1424"/>
    <n v="1496"/>
    <n v="14"/>
    <n v="560"/>
    <n v="156.62"/>
    <n v="229"/>
  </r>
  <r>
    <x v="77"/>
    <x v="4"/>
    <x v="0"/>
    <n v="10316"/>
    <n v="5959"/>
    <n v="5079"/>
    <n v="94"/>
    <n v="89"/>
    <n v="70.81"/>
    <n v="2236"/>
  </r>
  <r>
    <x v="77"/>
    <x v="4"/>
    <x v="1"/>
    <n v="3222"/>
    <n v="1608"/>
    <n v="1310"/>
    <n v="17"/>
    <n v="132"/>
    <n v="65.64"/>
    <n v="795"/>
  </r>
  <r>
    <x v="78"/>
    <x v="0"/>
    <x v="0"/>
    <n v="13319"/>
    <n v="6485"/>
    <n v="4405"/>
    <n v="83"/>
    <n v="131"/>
    <n v="161.99"/>
    <n v="1345"/>
  </r>
  <r>
    <x v="78"/>
    <x v="0"/>
    <x v="1"/>
    <n v="8447"/>
    <n v="8006"/>
    <n v="4737"/>
    <n v="86"/>
    <n v="50"/>
    <n v="84.51"/>
    <n v="2992"/>
  </r>
  <r>
    <x v="78"/>
    <x v="1"/>
    <x v="0"/>
    <n v="9862"/>
    <n v="9024"/>
    <n v="4279"/>
    <n v="82"/>
    <n v="36"/>
    <n v="165.33"/>
    <n v="2577"/>
  </r>
  <r>
    <x v="78"/>
    <x v="1"/>
    <x v="1"/>
    <n v="2793"/>
    <n v="720"/>
    <n v="1268"/>
    <n v="10"/>
    <n v="77"/>
    <n v="105.17"/>
    <n v="726"/>
  </r>
  <r>
    <x v="78"/>
    <x v="2"/>
    <x v="0"/>
    <n v="9920"/>
    <n v="7265"/>
    <n v="5141"/>
    <n v="100"/>
    <n v="82"/>
    <n v="24.41"/>
    <n v="3554"/>
  </r>
  <r>
    <x v="78"/>
    <x v="2"/>
    <x v="1"/>
    <n v="7487"/>
    <n v="3935"/>
    <n v="3426"/>
    <n v="25"/>
    <n v="38"/>
    <n v="68.91"/>
    <n v="1197"/>
  </r>
  <r>
    <x v="78"/>
    <x v="3"/>
    <x v="0"/>
    <n v="3058"/>
    <n v="1359"/>
    <n v="1804"/>
    <n v="23"/>
    <n v="96"/>
    <n v="133.08000000000001"/>
    <n v="899"/>
  </r>
  <r>
    <x v="78"/>
    <x v="3"/>
    <x v="1"/>
    <n v="2887"/>
    <n v="2096"/>
    <n v="1171"/>
    <n v="15"/>
    <n v="749"/>
    <n v="140.27000000000001"/>
    <n v="418"/>
  </r>
  <r>
    <x v="78"/>
    <x v="4"/>
    <x v="0"/>
    <n v="4782"/>
    <n v="4462"/>
    <n v="1699"/>
    <n v="55"/>
    <n v="134"/>
    <n v="68.180000000000007"/>
    <n v="590"/>
  </r>
  <r>
    <x v="78"/>
    <x v="4"/>
    <x v="1"/>
    <n v="2226"/>
    <n v="1786"/>
    <n v="1225"/>
    <n v="24"/>
    <n v="729"/>
    <n v="171.8"/>
    <n v="398"/>
  </r>
  <r>
    <x v="79"/>
    <x v="0"/>
    <x v="0"/>
    <n v="5612"/>
    <n v="3933"/>
    <n v="3296"/>
    <n v="34"/>
    <n v="64"/>
    <n v="132.52000000000001"/>
    <n v="1038"/>
  </r>
  <r>
    <x v="79"/>
    <x v="0"/>
    <x v="1"/>
    <n v="8728"/>
    <n v="3462"/>
    <n v="2744"/>
    <n v="42"/>
    <n v="80"/>
    <n v="176.05"/>
    <n v="1420"/>
  </r>
  <r>
    <x v="79"/>
    <x v="1"/>
    <x v="0"/>
    <n v="3904"/>
    <n v="3500"/>
    <n v="1928"/>
    <n v="23"/>
    <n v="31"/>
    <n v="72.88"/>
    <n v="780"/>
  </r>
  <r>
    <x v="79"/>
    <x v="1"/>
    <x v="1"/>
    <n v="6378"/>
    <n v="4996"/>
    <n v="2770"/>
    <n v="43"/>
    <n v="81"/>
    <n v="164.51"/>
    <n v="1337"/>
  </r>
  <r>
    <x v="79"/>
    <x v="2"/>
    <x v="0"/>
    <n v="9250"/>
    <n v="5980"/>
    <n v="5315"/>
    <n v="47"/>
    <n v="55"/>
    <n v="171.3"/>
    <n v="2230"/>
  </r>
  <r>
    <x v="79"/>
    <x v="2"/>
    <x v="1"/>
    <n v="4868"/>
    <n v="4347"/>
    <n v="2874"/>
    <n v="30"/>
    <n v="51"/>
    <n v="100.95"/>
    <n v="1448"/>
  </r>
  <r>
    <x v="79"/>
    <x v="3"/>
    <x v="0"/>
    <n v="2478"/>
    <n v="930"/>
    <n v="2025"/>
    <n v="41"/>
    <n v="627"/>
    <n v="99.69"/>
    <n v="296"/>
  </r>
  <r>
    <x v="79"/>
    <x v="3"/>
    <x v="1"/>
    <n v="3318"/>
    <n v="1134"/>
    <n v="1636"/>
    <n v="40"/>
    <n v="53"/>
    <n v="29.32"/>
    <n v="636"/>
  </r>
  <r>
    <x v="79"/>
    <x v="4"/>
    <x v="0"/>
    <n v="9559"/>
    <n v="7947"/>
    <n v="4748"/>
    <n v="72"/>
    <n v="58"/>
    <n v="24.02"/>
    <n v="2572"/>
  </r>
  <r>
    <x v="79"/>
    <x v="4"/>
    <x v="1"/>
    <n v="2633"/>
    <n v="1136"/>
    <n v="1150"/>
    <n v="39"/>
    <n v="69"/>
    <n v="85.09"/>
    <n v="806"/>
  </r>
  <r>
    <x v="80"/>
    <x v="0"/>
    <x v="0"/>
    <n v="10534"/>
    <n v="3768"/>
    <n v="5291"/>
    <n v="49"/>
    <n v="82"/>
    <n v="36.75"/>
    <n v="3920"/>
  </r>
  <r>
    <x v="80"/>
    <x v="0"/>
    <x v="1"/>
    <n v="9117"/>
    <n v="3993"/>
    <n v="5079"/>
    <n v="30"/>
    <n v="77"/>
    <n v="85.97"/>
    <n v="3391"/>
  </r>
  <r>
    <x v="80"/>
    <x v="1"/>
    <x v="0"/>
    <n v="7756"/>
    <n v="2298"/>
    <n v="2555"/>
    <n v="27"/>
    <n v="101"/>
    <n v="159.33000000000001"/>
    <n v="1283"/>
  </r>
  <r>
    <x v="80"/>
    <x v="1"/>
    <x v="1"/>
    <n v="3488"/>
    <n v="2404"/>
    <n v="1963"/>
    <n v="25"/>
    <n v="85"/>
    <n v="133.97"/>
    <n v="828"/>
  </r>
  <r>
    <x v="80"/>
    <x v="2"/>
    <x v="0"/>
    <n v="6920"/>
    <n v="5244"/>
    <n v="2855"/>
    <n v="28"/>
    <n v="33"/>
    <n v="163.19"/>
    <n v="1662"/>
  </r>
  <r>
    <x v="80"/>
    <x v="2"/>
    <x v="1"/>
    <n v="2030"/>
    <n v="1440"/>
    <n v="2185"/>
    <n v="14"/>
    <n v="669"/>
    <n v="165.58"/>
    <n v="338"/>
  </r>
  <r>
    <x v="80"/>
    <x v="3"/>
    <x v="0"/>
    <n v="4424"/>
    <n v="3673"/>
    <n v="1608"/>
    <n v="61"/>
    <n v="57"/>
    <n v="54.07"/>
    <n v="674"/>
  </r>
  <r>
    <x v="80"/>
    <x v="3"/>
    <x v="1"/>
    <n v="1923"/>
    <n v="1158"/>
    <n v="1868"/>
    <n v="17"/>
    <n v="816"/>
    <n v="136.16999999999999"/>
    <n v="485"/>
  </r>
  <r>
    <x v="80"/>
    <x v="4"/>
    <x v="0"/>
    <n v="5804"/>
    <n v="1812"/>
    <n v="3162"/>
    <n v="15"/>
    <n v="43"/>
    <n v="176.93"/>
    <n v="1487"/>
  </r>
  <r>
    <x v="80"/>
    <x v="4"/>
    <x v="1"/>
    <n v="7087"/>
    <n v="4326"/>
    <n v="4052"/>
    <n v="57"/>
    <n v="92"/>
    <n v="26.56"/>
    <n v="1467"/>
  </r>
  <r>
    <x v="81"/>
    <x v="0"/>
    <x v="0"/>
    <n v="5227"/>
    <n v="3730"/>
    <n v="2802"/>
    <n v="50"/>
    <n v="30"/>
    <n v="88.57"/>
    <n v="1148"/>
  </r>
  <r>
    <x v="81"/>
    <x v="0"/>
    <x v="1"/>
    <n v="3812"/>
    <n v="2923"/>
    <n v="1557"/>
    <n v="21"/>
    <n v="100"/>
    <n v="103.24"/>
    <n v="913"/>
  </r>
  <r>
    <x v="81"/>
    <x v="1"/>
    <x v="0"/>
    <n v="5695"/>
    <n v="1508"/>
    <n v="3176"/>
    <n v="19"/>
    <n v="48"/>
    <n v="161.29"/>
    <n v="1446"/>
  </r>
  <r>
    <x v="81"/>
    <x v="1"/>
    <x v="1"/>
    <n v="2813"/>
    <n v="2123"/>
    <n v="1612"/>
    <n v="17"/>
    <n v="58"/>
    <n v="121.21"/>
    <n v="596"/>
  </r>
  <r>
    <x v="81"/>
    <x v="2"/>
    <x v="0"/>
    <n v="10174"/>
    <n v="4174"/>
    <n v="5298"/>
    <n v="31"/>
    <n v="49"/>
    <n v="173.25"/>
    <n v="2352"/>
  </r>
  <r>
    <x v="81"/>
    <x v="2"/>
    <x v="1"/>
    <n v="4913"/>
    <n v="4191"/>
    <n v="2073"/>
    <n v="63"/>
    <n v="126"/>
    <n v="171.01"/>
    <n v="1333"/>
  </r>
  <r>
    <x v="81"/>
    <x v="3"/>
    <x v="0"/>
    <n v="3948"/>
    <n v="2615"/>
    <n v="1798"/>
    <n v="27"/>
    <n v="80"/>
    <n v="39.01"/>
    <n v="545"/>
  </r>
  <r>
    <x v="81"/>
    <x v="3"/>
    <x v="1"/>
    <n v="3503"/>
    <n v="2688"/>
    <n v="1906"/>
    <n v="21"/>
    <n v="93"/>
    <n v="87.63"/>
    <n v="1076"/>
  </r>
  <r>
    <x v="81"/>
    <x v="4"/>
    <x v="0"/>
    <n v="9060"/>
    <n v="7588"/>
    <n v="3420"/>
    <n v="75"/>
    <n v="45"/>
    <n v="23.73"/>
    <n v="2360"/>
  </r>
  <r>
    <x v="81"/>
    <x v="4"/>
    <x v="1"/>
    <n v="6922"/>
    <n v="2679"/>
    <n v="2822"/>
    <n v="33"/>
    <n v="136"/>
    <n v="108.37"/>
    <n v="2111"/>
  </r>
  <r>
    <x v="82"/>
    <x v="0"/>
    <x v="0"/>
    <n v="5753"/>
    <n v="4980"/>
    <n v="1727"/>
    <n v="77"/>
    <n v="67"/>
    <n v="28.48"/>
    <n v="980"/>
  </r>
  <r>
    <x v="82"/>
    <x v="0"/>
    <x v="1"/>
    <n v="5725"/>
    <n v="2387"/>
    <n v="2293"/>
    <n v="37"/>
    <n v="119"/>
    <n v="120.12"/>
    <n v="1671"/>
  </r>
  <r>
    <x v="82"/>
    <x v="1"/>
    <x v="0"/>
    <n v="6409"/>
    <n v="2135"/>
    <n v="2113"/>
    <n v="20"/>
    <n v="34"/>
    <n v="51.38"/>
    <n v="1226"/>
  </r>
  <r>
    <x v="82"/>
    <x v="1"/>
    <x v="1"/>
    <n v="2031"/>
    <n v="1172"/>
    <n v="1178"/>
    <n v="18"/>
    <n v="88"/>
    <n v="28.9"/>
    <n v="848"/>
  </r>
  <r>
    <x v="82"/>
    <x v="2"/>
    <x v="0"/>
    <n v="9523"/>
    <n v="8148"/>
    <n v="4660"/>
    <n v="75"/>
    <n v="51"/>
    <n v="43.84"/>
    <n v="2897"/>
  </r>
  <r>
    <x v="82"/>
    <x v="2"/>
    <x v="1"/>
    <n v="3691"/>
    <n v="3449"/>
    <n v="1638"/>
    <n v="29"/>
    <n v="51"/>
    <n v="162.26"/>
    <n v="1209"/>
  </r>
  <r>
    <x v="82"/>
    <x v="3"/>
    <x v="0"/>
    <n v="4057"/>
    <n v="2461"/>
    <n v="1712"/>
    <n v="13"/>
    <n v="71"/>
    <n v="127.98"/>
    <n v="684"/>
  </r>
  <r>
    <x v="82"/>
    <x v="3"/>
    <x v="1"/>
    <n v="3697"/>
    <n v="3138"/>
    <n v="1155"/>
    <n v="39"/>
    <n v="785"/>
    <n v="160.1"/>
    <n v="454"/>
  </r>
  <r>
    <x v="82"/>
    <x v="4"/>
    <x v="0"/>
    <n v="11102"/>
    <n v="8279"/>
    <n v="4226"/>
    <n v="70"/>
    <n v="40"/>
    <n v="39.19"/>
    <n v="3165"/>
  </r>
  <r>
    <x v="82"/>
    <x v="4"/>
    <x v="1"/>
    <n v="5764"/>
    <n v="4081"/>
    <n v="1784"/>
    <n v="56"/>
    <n v="39"/>
    <n v="117.92"/>
    <n v="633"/>
  </r>
  <r>
    <x v="83"/>
    <x v="0"/>
    <x v="0"/>
    <n v="16614"/>
    <n v="13687"/>
    <n v="9705"/>
    <n v="132"/>
    <n v="82"/>
    <n v="28.31"/>
    <n v="4686"/>
  </r>
  <r>
    <x v="83"/>
    <x v="0"/>
    <x v="1"/>
    <n v="3624"/>
    <n v="3238"/>
    <n v="2105"/>
    <n v="19"/>
    <n v="42"/>
    <n v="104.43"/>
    <n v="1414"/>
  </r>
  <r>
    <x v="83"/>
    <x v="1"/>
    <x v="0"/>
    <n v="4357"/>
    <n v="3712"/>
    <n v="2552"/>
    <n v="31"/>
    <n v="38"/>
    <n v="174.21"/>
    <n v="823"/>
  </r>
  <r>
    <x v="83"/>
    <x v="1"/>
    <x v="1"/>
    <n v="4626"/>
    <n v="3259"/>
    <n v="2721"/>
    <n v="17"/>
    <n v="92"/>
    <n v="130.72"/>
    <n v="871"/>
  </r>
  <r>
    <x v="83"/>
    <x v="2"/>
    <x v="0"/>
    <n v="10696"/>
    <n v="9746"/>
    <n v="5848"/>
    <n v="124"/>
    <n v="54"/>
    <n v="132.76"/>
    <n v="1789"/>
  </r>
  <r>
    <x v="83"/>
    <x v="2"/>
    <x v="1"/>
    <n v="3653"/>
    <n v="2632"/>
    <n v="1935"/>
    <n v="17"/>
    <n v="34"/>
    <n v="121.96"/>
    <n v="763"/>
  </r>
  <r>
    <x v="83"/>
    <x v="3"/>
    <x v="0"/>
    <n v="1745"/>
    <n v="1499"/>
    <n v="2055"/>
    <n v="11"/>
    <n v="615"/>
    <n v="27.03"/>
    <n v="284"/>
  </r>
  <r>
    <x v="83"/>
    <x v="3"/>
    <x v="1"/>
    <n v="2591"/>
    <n v="1119"/>
    <n v="2083"/>
    <n v="39"/>
    <n v="67"/>
    <n v="90.07"/>
    <n v="505"/>
  </r>
  <r>
    <x v="83"/>
    <x v="4"/>
    <x v="0"/>
    <n v="4069"/>
    <n v="3514"/>
    <n v="2037"/>
    <n v="39"/>
    <n v="36"/>
    <n v="155.79"/>
    <n v="1358"/>
  </r>
  <r>
    <x v="83"/>
    <x v="4"/>
    <x v="1"/>
    <n v="5497"/>
    <n v="5131"/>
    <n v="2910"/>
    <n v="81"/>
    <n v="39"/>
    <n v="116.67"/>
    <n v="976"/>
  </r>
  <r>
    <x v="84"/>
    <x v="0"/>
    <x v="0"/>
    <n v="14345"/>
    <n v="7120"/>
    <n v="5309"/>
    <n v="101"/>
    <n v="48"/>
    <n v="140.91999999999999"/>
    <n v="3120"/>
  </r>
  <r>
    <x v="84"/>
    <x v="0"/>
    <x v="1"/>
    <n v="10959"/>
    <n v="3630"/>
    <n v="5239"/>
    <n v="55"/>
    <n v="77"/>
    <n v="140.21"/>
    <n v="1871"/>
  </r>
  <r>
    <x v="84"/>
    <x v="1"/>
    <x v="0"/>
    <n v="11034"/>
    <n v="6669"/>
    <n v="6409"/>
    <n v="97"/>
    <n v="60"/>
    <n v="102.33"/>
    <n v="3404"/>
  </r>
  <r>
    <x v="84"/>
    <x v="1"/>
    <x v="1"/>
    <n v="7797"/>
    <n v="6633"/>
    <n v="3443"/>
    <n v="71"/>
    <n v="132"/>
    <n v="106.44"/>
    <n v="1792"/>
  </r>
  <r>
    <x v="84"/>
    <x v="2"/>
    <x v="0"/>
    <n v="3658"/>
    <n v="1755"/>
    <n v="1726"/>
    <n v="19"/>
    <n v="120"/>
    <n v="102.08"/>
    <n v="703"/>
  </r>
  <r>
    <x v="84"/>
    <x v="2"/>
    <x v="1"/>
    <n v="7283"/>
    <n v="2308"/>
    <n v="4259"/>
    <n v="18"/>
    <n v="141"/>
    <n v="88.81"/>
    <n v="1862"/>
  </r>
  <r>
    <x v="84"/>
    <x v="3"/>
    <x v="0"/>
    <n v="5143"/>
    <n v="1364"/>
    <n v="2382"/>
    <n v="12"/>
    <n v="102"/>
    <n v="125.94"/>
    <n v="1306"/>
  </r>
  <r>
    <x v="84"/>
    <x v="3"/>
    <x v="1"/>
    <n v="2621"/>
    <n v="1341"/>
    <n v="2191"/>
    <n v="11"/>
    <n v="826"/>
    <n v="27.64"/>
    <n v="495"/>
  </r>
  <r>
    <x v="84"/>
    <x v="4"/>
    <x v="0"/>
    <n v="5719"/>
    <n v="1459"/>
    <n v="3047"/>
    <n v="14"/>
    <n v="36"/>
    <n v="166.32"/>
    <n v="1378"/>
  </r>
  <r>
    <x v="84"/>
    <x v="4"/>
    <x v="1"/>
    <n v="6473"/>
    <n v="1797"/>
    <n v="2327"/>
    <n v="27"/>
    <n v="88"/>
    <n v="85.77"/>
    <n v="1613"/>
  </r>
  <r>
    <x v="85"/>
    <x v="0"/>
    <x v="0"/>
    <n v="11234"/>
    <n v="10022"/>
    <n v="3972"/>
    <n v="65"/>
    <n v="111"/>
    <n v="170.72"/>
    <n v="2073"/>
  </r>
  <r>
    <x v="85"/>
    <x v="0"/>
    <x v="1"/>
    <n v="11902"/>
    <n v="9153"/>
    <n v="3694"/>
    <n v="80"/>
    <n v="142"/>
    <n v="123.72"/>
    <n v="1320"/>
  </r>
  <r>
    <x v="85"/>
    <x v="1"/>
    <x v="0"/>
    <n v="5649"/>
    <n v="1510"/>
    <n v="2590"/>
    <n v="20"/>
    <n v="37"/>
    <n v="179.91"/>
    <n v="1012"/>
  </r>
  <r>
    <x v="85"/>
    <x v="1"/>
    <x v="1"/>
    <n v="3548"/>
    <n v="3062"/>
    <n v="1839"/>
    <n v="37"/>
    <n v="80"/>
    <n v="48.12"/>
    <n v="647"/>
  </r>
  <r>
    <x v="85"/>
    <x v="2"/>
    <x v="0"/>
    <n v="5782"/>
    <n v="3634"/>
    <n v="1766"/>
    <n v="21"/>
    <n v="47"/>
    <n v="33.479999999999997"/>
    <n v="611"/>
  </r>
  <r>
    <x v="85"/>
    <x v="2"/>
    <x v="1"/>
    <n v="2023"/>
    <n v="1653"/>
    <n v="2039"/>
    <n v="17"/>
    <n v="619"/>
    <n v="139.83000000000001"/>
    <n v="288"/>
  </r>
  <r>
    <x v="85"/>
    <x v="3"/>
    <x v="0"/>
    <n v="1668"/>
    <n v="433"/>
    <n v="2211"/>
    <n v="37"/>
    <n v="709"/>
    <n v="23.3"/>
    <n v="378"/>
  </r>
  <r>
    <x v="85"/>
    <x v="3"/>
    <x v="1"/>
    <n v="3678"/>
    <n v="2221"/>
    <n v="1327"/>
    <n v="29"/>
    <n v="59"/>
    <n v="152.94999999999999"/>
    <n v="843"/>
  </r>
  <r>
    <x v="85"/>
    <x v="4"/>
    <x v="0"/>
    <n v="5263"/>
    <n v="4761"/>
    <n v="2731"/>
    <n v="25"/>
    <n v="65"/>
    <n v="48.78"/>
    <n v="1911"/>
  </r>
  <r>
    <x v="85"/>
    <x v="4"/>
    <x v="1"/>
    <n v="4215"/>
    <n v="1181"/>
    <n v="1331"/>
    <n v="41"/>
    <n v="57"/>
    <n v="41.32"/>
    <n v="774"/>
  </r>
  <r>
    <x v="86"/>
    <x v="0"/>
    <x v="0"/>
    <n v="5887"/>
    <n v="3646"/>
    <n v="2068"/>
    <n v="42"/>
    <n v="47"/>
    <n v="97.35"/>
    <n v="804"/>
  </r>
  <r>
    <x v="86"/>
    <x v="0"/>
    <x v="1"/>
    <n v="4361"/>
    <n v="4092"/>
    <n v="2359"/>
    <n v="21"/>
    <n v="43"/>
    <n v="57.38"/>
    <n v="1544"/>
  </r>
  <r>
    <x v="86"/>
    <x v="1"/>
    <x v="0"/>
    <n v="9657"/>
    <n v="7167"/>
    <n v="5165"/>
    <n v="90"/>
    <n v="41"/>
    <n v="38.31"/>
    <n v="3728"/>
  </r>
  <r>
    <x v="86"/>
    <x v="1"/>
    <x v="1"/>
    <n v="6928"/>
    <n v="3478"/>
    <n v="4942"/>
    <n v="48"/>
    <n v="104"/>
    <n v="101.08"/>
    <n v="2581"/>
  </r>
  <r>
    <x v="86"/>
    <x v="2"/>
    <x v="0"/>
    <n v="5905"/>
    <n v="1801"/>
    <n v="2229"/>
    <n v="29"/>
    <n v="45"/>
    <n v="127.49"/>
    <n v="1007"/>
  </r>
  <r>
    <x v="86"/>
    <x v="2"/>
    <x v="1"/>
    <n v="2866"/>
    <n v="942"/>
    <n v="1161"/>
    <n v="9"/>
    <n v="31"/>
    <n v="100.83"/>
    <n v="752"/>
  </r>
  <r>
    <x v="86"/>
    <x v="3"/>
    <x v="0"/>
    <n v="5819"/>
    <n v="2961"/>
    <n v="3140"/>
    <n v="20"/>
    <n v="87"/>
    <n v="77.58"/>
    <n v="1941"/>
  </r>
  <r>
    <x v="86"/>
    <x v="3"/>
    <x v="1"/>
    <n v="3355"/>
    <n v="2322"/>
    <n v="1999"/>
    <n v="15"/>
    <n v="42"/>
    <n v="96.39"/>
    <n v="1302"/>
  </r>
  <r>
    <x v="86"/>
    <x v="4"/>
    <x v="0"/>
    <n v="3732"/>
    <n v="2384"/>
    <n v="1544"/>
    <n v="17"/>
    <n v="55"/>
    <n v="84.21"/>
    <n v="1049"/>
  </r>
  <r>
    <x v="86"/>
    <x v="4"/>
    <x v="1"/>
    <n v="6406"/>
    <n v="4608"/>
    <n v="2346"/>
    <n v="35"/>
    <n v="86"/>
    <n v="115.11"/>
    <n v="1474"/>
  </r>
  <r>
    <x v="87"/>
    <x v="0"/>
    <x v="0"/>
    <n v="8920"/>
    <n v="3345"/>
    <n v="2921"/>
    <n v="17"/>
    <n v="78"/>
    <n v="70.680000000000007"/>
    <n v="1608"/>
  </r>
  <r>
    <x v="87"/>
    <x v="0"/>
    <x v="1"/>
    <n v="11356"/>
    <n v="3671"/>
    <n v="3534"/>
    <n v="35"/>
    <n v="37"/>
    <n v="50.55"/>
    <n v="2519"/>
  </r>
  <r>
    <x v="87"/>
    <x v="1"/>
    <x v="0"/>
    <n v="8765"/>
    <n v="5088"/>
    <n v="3131"/>
    <n v="56"/>
    <n v="36"/>
    <n v="176.93"/>
    <n v="1590"/>
  </r>
  <r>
    <x v="87"/>
    <x v="1"/>
    <x v="1"/>
    <n v="6753"/>
    <n v="3278"/>
    <n v="3932"/>
    <n v="51"/>
    <n v="36"/>
    <n v="105.65"/>
    <n v="2366"/>
  </r>
  <r>
    <x v="87"/>
    <x v="2"/>
    <x v="0"/>
    <n v="3442"/>
    <n v="3209"/>
    <n v="1675"/>
    <n v="45"/>
    <n v="136"/>
    <n v="151.43"/>
    <n v="960"/>
  </r>
  <r>
    <x v="87"/>
    <x v="2"/>
    <x v="1"/>
    <n v="6871"/>
    <n v="4166"/>
    <n v="2853"/>
    <n v="24"/>
    <n v="30"/>
    <n v="86.3"/>
    <n v="1426"/>
  </r>
  <r>
    <x v="87"/>
    <x v="3"/>
    <x v="0"/>
    <n v="5890"/>
    <n v="3331"/>
    <n v="2455"/>
    <n v="22"/>
    <n v="55"/>
    <n v="130.22999999999999"/>
    <n v="1788"/>
  </r>
  <r>
    <x v="87"/>
    <x v="3"/>
    <x v="1"/>
    <n v="2498"/>
    <n v="1229"/>
    <n v="1292"/>
    <n v="40"/>
    <n v="43"/>
    <n v="18.579999999999998"/>
    <n v="569"/>
  </r>
  <r>
    <x v="87"/>
    <x v="4"/>
    <x v="0"/>
    <n v="4633"/>
    <n v="3707"/>
    <n v="2006"/>
    <n v="35"/>
    <n v="49"/>
    <n v="114.18"/>
    <n v="941"/>
  </r>
  <r>
    <x v="87"/>
    <x v="4"/>
    <x v="1"/>
    <n v="2767"/>
    <n v="1385"/>
    <n v="1387"/>
    <n v="15"/>
    <n v="85"/>
    <n v="134.38"/>
    <n v="584"/>
  </r>
  <r>
    <x v="88"/>
    <x v="0"/>
    <x v="0"/>
    <n v="4864"/>
    <n v="2268"/>
    <n v="2458"/>
    <n v="14"/>
    <n v="60"/>
    <n v="74.3"/>
    <n v="1520"/>
  </r>
  <r>
    <x v="88"/>
    <x v="0"/>
    <x v="1"/>
    <n v="11782"/>
    <n v="6580"/>
    <n v="4650"/>
    <n v="84"/>
    <n v="33"/>
    <n v="21.2"/>
    <n v="2823"/>
  </r>
  <r>
    <x v="88"/>
    <x v="1"/>
    <x v="0"/>
    <n v="10993"/>
    <n v="5696"/>
    <n v="4688"/>
    <n v="46"/>
    <n v="58"/>
    <n v="46.34"/>
    <n v="1605"/>
  </r>
  <r>
    <x v="88"/>
    <x v="1"/>
    <x v="1"/>
    <n v="4968"/>
    <n v="2216"/>
    <n v="2452"/>
    <n v="17"/>
    <n v="118"/>
    <n v="151.16999999999999"/>
    <n v="1454"/>
  </r>
  <r>
    <x v="88"/>
    <x v="2"/>
    <x v="0"/>
    <n v="5231"/>
    <n v="2286"/>
    <n v="2505"/>
    <n v="38"/>
    <n v="128"/>
    <n v="16.670000000000002"/>
    <n v="1551"/>
  </r>
  <r>
    <x v="88"/>
    <x v="2"/>
    <x v="1"/>
    <n v="4046"/>
    <n v="2629"/>
    <n v="2389"/>
    <n v="41"/>
    <n v="35"/>
    <n v="126.15"/>
    <n v="1298"/>
  </r>
  <r>
    <x v="88"/>
    <x v="3"/>
    <x v="0"/>
    <n v="4061"/>
    <n v="2336"/>
    <n v="1791"/>
    <n v="18"/>
    <n v="73"/>
    <n v="42.1"/>
    <n v="904"/>
  </r>
  <r>
    <x v="88"/>
    <x v="3"/>
    <x v="1"/>
    <n v="1092"/>
    <n v="309"/>
    <n v="1742"/>
    <n v="38"/>
    <n v="536"/>
    <n v="49.54"/>
    <n v="205"/>
  </r>
  <r>
    <x v="88"/>
    <x v="4"/>
    <x v="0"/>
    <n v="3814"/>
    <n v="2886"/>
    <n v="2228"/>
    <n v="34"/>
    <n v="144"/>
    <n v="102.46"/>
    <n v="722"/>
  </r>
  <r>
    <x v="88"/>
    <x v="4"/>
    <x v="1"/>
    <n v="4390"/>
    <n v="3094"/>
    <n v="2282"/>
    <n v="48"/>
    <n v="106"/>
    <n v="61.16"/>
    <n v="1207"/>
  </r>
  <r>
    <x v="89"/>
    <x v="0"/>
    <x v="0"/>
    <n v="12410"/>
    <n v="3766"/>
    <n v="6516"/>
    <n v="37"/>
    <n v="84"/>
    <n v="107.64"/>
    <n v="3988"/>
  </r>
  <r>
    <x v="89"/>
    <x v="0"/>
    <x v="1"/>
    <n v="10158"/>
    <n v="4848"/>
    <n v="5659"/>
    <n v="49"/>
    <n v="128"/>
    <n v="159.1"/>
    <n v="3440"/>
  </r>
  <r>
    <x v="89"/>
    <x v="1"/>
    <x v="0"/>
    <n v="6158"/>
    <n v="4406"/>
    <n v="1891"/>
    <n v="49"/>
    <n v="119"/>
    <n v="22.88"/>
    <n v="919"/>
  </r>
  <r>
    <x v="89"/>
    <x v="1"/>
    <x v="1"/>
    <n v="3553"/>
    <n v="1378"/>
    <n v="1200"/>
    <n v="10"/>
    <n v="78"/>
    <n v="166.04"/>
    <n v="528"/>
  </r>
  <r>
    <x v="89"/>
    <x v="2"/>
    <x v="0"/>
    <n v="8156"/>
    <n v="6639"/>
    <n v="4618"/>
    <n v="54"/>
    <n v="34"/>
    <n v="31.98"/>
    <n v="1671"/>
  </r>
  <r>
    <x v="89"/>
    <x v="2"/>
    <x v="1"/>
    <n v="3614"/>
    <n v="3333"/>
    <n v="1375"/>
    <n v="46"/>
    <n v="39"/>
    <n v="160.47"/>
    <n v="778"/>
  </r>
  <r>
    <x v="89"/>
    <x v="3"/>
    <x v="0"/>
    <n v="4211"/>
    <n v="1239"/>
    <n v="2104"/>
    <n v="15"/>
    <n v="96"/>
    <n v="102.37"/>
    <n v="990"/>
  </r>
  <r>
    <x v="89"/>
    <x v="3"/>
    <x v="1"/>
    <n v="2443"/>
    <n v="1841"/>
    <n v="1214"/>
    <n v="15"/>
    <n v="803"/>
    <n v="174.85"/>
    <n v="472"/>
  </r>
  <r>
    <x v="89"/>
    <x v="4"/>
    <x v="0"/>
    <n v="8591"/>
    <n v="4728"/>
    <n v="4134"/>
    <n v="39"/>
    <n v="50"/>
    <n v="97.36"/>
    <n v="1332"/>
  </r>
  <r>
    <x v="89"/>
    <x v="4"/>
    <x v="1"/>
    <n v="4787"/>
    <n v="1808"/>
    <n v="2019"/>
    <n v="22"/>
    <n v="57"/>
    <n v="129.03"/>
    <n v="643"/>
  </r>
  <r>
    <x v="90"/>
    <x v="0"/>
    <x v="0"/>
    <n v="15701"/>
    <n v="14493"/>
    <n v="8532"/>
    <n v="118"/>
    <n v="75"/>
    <n v="169.12"/>
    <n v="2772"/>
  </r>
  <r>
    <x v="90"/>
    <x v="0"/>
    <x v="1"/>
    <n v="6823"/>
    <n v="5205"/>
    <n v="2966"/>
    <n v="39"/>
    <n v="33"/>
    <n v="167.57"/>
    <n v="1953"/>
  </r>
  <r>
    <x v="90"/>
    <x v="1"/>
    <x v="0"/>
    <n v="3214"/>
    <n v="2210"/>
    <n v="1687"/>
    <n v="25"/>
    <n v="34"/>
    <n v="117.72"/>
    <n v="1058"/>
  </r>
  <r>
    <x v="90"/>
    <x v="1"/>
    <x v="1"/>
    <n v="6948"/>
    <n v="6522"/>
    <n v="2644"/>
    <n v="41"/>
    <n v="110"/>
    <n v="60.7"/>
    <n v="1379"/>
  </r>
  <r>
    <x v="90"/>
    <x v="2"/>
    <x v="0"/>
    <n v="8978"/>
    <n v="4087"/>
    <n v="3280"/>
    <n v="40"/>
    <n v="74"/>
    <n v="82.87"/>
    <n v="2410"/>
  </r>
  <r>
    <x v="90"/>
    <x v="2"/>
    <x v="1"/>
    <n v="7686"/>
    <n v="3072"/>
    <n v="2770"/>
    <n v="43"/>
    <n v="88"/>
    <n v="20.93"/>
    <n v="931"/>
  </r>
  <r>
    <x v="90"/>
    <x v="3"/>
    <x v="0"/>
    <n v="3968"/>
    <n v="3259"/>
    <n v="2280"/>
    <n v="46"/>
    <n v="133"/>
    <n v="144.16999999999999"/>
    <n v="1560"/>
  </r>
  <r>
    <x v="90"/>
    <x v="3"/>
    <x v="1"/>
    <n v="6922"/>
    <n v="2765"/>
    <n v="4626"/>
    <n v="55"/>
    <n v="192"/>
    <n v="176.83"/>
    <n v="2949"/>
  </r>
  <r>
    <x v="90"/>
    <x v="4"/>
    <x v="0"/>
    <n v="11646"/>
    <n v="8976"/>
    <n v="5142"/>
    <n v="111"/>
    <n v="47"/>
    <n v="179.76"/>
    <n v="3763"/>
  </r>
  <r>
    <x v="90"/>
    <x v="4"/>
    <x v="1"/>
    <n v="6472"/>
    <n v="4980"/>
    <n v="2639"/>
    <n v="30"/>
    <n v="121"/>
    <n v="167.82"/>
    <n v="1811"/>
  </r>
  <r>
    <x v="91"/>
    <x v="0"/>
    <x v="0"/>
    <n v="5015"/>
    <n v="1999"/>
    <n v="2810"/>
    <n v="32"/>
    <n v="35"/>
    <n v="115.15"/>
    <n v="1475"/>
  </r>
  <r>
    <x v="91"/>
    <x v="0"/>
    <x v="1"/>
    <n v="4033"/>
    <n v="3786"/>
    <n v="1617"/>
    <n v="44"/>
    <n v="39"/>
    <n v="107.26"/>
    <n v="863"/>
  </r>
  <r>
    <x v="91"/>
    <x v="1"/>
    <x v="0"/>
    <n v="9520"/>
    <n v="3934"/>
    <n v="4998"/>
    <n v="54"/>
    <n v="91"/>
    <n v="57.69"/>
    <n v="2213"/>
  </r>
  <r>
    <x v="91"/>
    <x v="1"/>
    <x v="1"/>
    <n v="5267"/>
    <n v="3968"/>
    <n v="1664"/>
    <n v="37"/>
    <n v="33"/>
    <n v="112.95"/>
    <n v="1064"/>
  </r>
  <r>
    <x v="91"/>
    <x v="2"/>
    <x v="0"/>
    <n v="8834"/>
    <n v="3289"/>
    <n v="3061"/>
    <n v="39"/>
    <n v="36"/>
    <n v="123.24"/>
    <n v="1409"/>
  </r>
  <r>
    <x v="91"/>
    <x v="2"/>
    <x v="1"/>
    <n v="3634"/>
    <n v="1972"/>
    <n v="1097"/>
    <n v="23"/>
    <n v="699"/>
    <n v="175.84"/>
    <n v="368"/>
  </r>
  <r>
    <x v="91"/>
    <x v="3"/>
    <x v="0"/>
    <n v="3885"/>
    <n v="1100"/>
    <n v="2244"/>
    <n v="10"/>
    <n v="50"/>
    <n v="137.03"/>
    <n v="1181"/>
  </r>
  <r>
    <x v="91"/>
    <x v="3"/>
    <x v="1"/>
    <n v="3789"/>
    <n v="2279"/>
    <n v="1523"/>
    <n v="23"/>
    <n v="70"/>
    <n v="145.43"/>
    <n v="950"/>
  </r>
  <r>
    <x v="91"/>
    <x v="4"/>
    <x v="0"/>
    <n v="8759"/>
    <n v="3220"/>
    <n v="4247"/>
    <n v="42"/>
    <n v="35"/>
    <n v="34.39"/>
    <n v="2197"/>
  </r>
  <r>
    <x v="91"/>
    <x v="4"/>
    <x v="1"/>
    <n v="7387"/>
    <n v="5863"/>
    <n v="3205"/>
    <n v="91"/>
    <n v="121"/>
    <n v="100.82"/>
    <n v="1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FB6DF5-BE63-471E-A5B1-18D8A2C5DDE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D95" firstHeaderRow="0" firstDataRow="1" firstDataCol="1"/>
  <pivotFields count="11">
    <pivotField numFmtId="22" showAll="0">
      <items count="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t="default"/>
      </items>
    </pivotField>
    <pivotField showAll="0">
      <items count="6">
        <item h="1" x="4"/>
        <item h="1" x="1"/>
        <item h="1" x="2"/>
        <item x="3"/>
        <item h="1" x="0"/>
        <item t="default"/>
      </items>
    </pivotField>
    <pivotField showAll="0">
      <items count="3">
        <item x="0"/>
        <item h="1" x="1"/>
        <item t="default"/>
      </items>
    </pivotField>
    <pivotField dataField="1" showAll="0"/>
    <pivotField showAll="0"/>
    <pivotField dataField="1" showAll="0"/>
    <pivotField showAll="0"/>
    <pivotField showAll="0"/>
    <pivotField showAll="0"/>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10"/>
  </rowFields>
  <rowItems count="93">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t="grand">
      <x/>
    </i>
  </rowItems>
  <colFields count="1">
    <field x="-2"/>
  </colFields>
  <colItems count="2">
    <i>
      <x/>
    </i>
    <i i="1">
      <x v="1"/>
    </i>
  </colItems>
  <dataFields count="2">
    <dataField name="Sum of Total_App_Installs" fld="3" baseField="0" baseItem="0"/>
    <dataField name="Sum of Daily_Active_Users" fld="5" baseField="0" baseItem="0"/>
  </dataFields>
  <formats count="2">
    <format dxfId="4">
      <pivotArea field="10" type="button" dataOnly="0" labelOnly="1" outline="0" axis="axisRow" fieldPosition="0"/>
    </format>
    <format dxfId="3">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C056941-0829-49A3-AD41-210AE55268A4}" autoFormatId="16" applyNumberFormats="0" applyBorderFormats="0" applyFontFormats="0" applyPatternFormats="0" applyAlignmentFormats="0" applyWidthHeightFormats="0">
  <queryTableRefresh nextId="11">
    <queryTableFields count="10">
      <queryTableField id="1" name="Date" tableColumnId="1"/>
      <queryTableField id="2" name="Region" tableColumnId="2"/>
      <queryTableField id="3" name="Device" tableColumnId="3"/>
      <queryTableField id="4" name="Total_App_Installs" tableColumnId="4"/>
      <queryTableField id="5" name="User_Sign_Ups" tableColumnId="5"/>
      <queryTableField id="6" name="Daily_Active_Users" tableColumnId="6"/>
      <queryTableField id="7" name="Uninstalls" tableColumnId="7"/>
      <queryTableField id="8" name="Number_of_App_Crashes" tableColumnId="8"/>
      <queryTableField id="9" name="Avg_Time_Spent_per_User_min" tableColumnId="9"/>
      <queryTableField id="10" name="Num_Transactions"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6E2AEE3-2E12-4AB8-83D4-F71B0006AB6B}" sourceName="Region">
  <pivotTables>
    <pivotTable tabId="1" name="PivotTable1"/>
  </pivotTables>
  <data>
    <tabular pivotCacheId="454422667">
      <items count="5">
        <i x="4"/>
        <i x="1"/>
        <i x="2"/>
        <i x="3"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 xr10:uid="{3E238F52-AD2E-4345-B0F2-564D4EA2A3C4}" sourceName="Device">
  <pivotTables>
    <pivotTable tabId="1" name="PivotTable1"/>
  </pivotTables>
  <data>
    <tabular pivotCacheId="454422667">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4BFF20F-7803-49FF-AAD3-ACB4E480FEBF}" cache="Slicer_Region" caption="Region" rowHeight="251883"/>
  <slicer name="Device" xr10:uid="{8D6CA8FA-1A2A-4E37-8308-3B61E1DDFF54}" cache="Slicer_Device" caption="Device"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B8D314-E542-426B-BD02-9F10B65861E5}" name="nexalink" displayName="nexalink" ref="A1:J921" tableType="queryTable" totalsRowShown="0">
  <autoFilter ref="A1:J921" xr:uid="{FBB8D314-E542-426B-BD02-9F10B65861E5}"/>
  <tableColumns count="10">
    <tableColumn id="1" xr3:uid="{9A2A575F-10E0-473C-BCBC-6F39E1728F3D}" uniqueName="1" name="Date" queryTableFieldId="1" dataDxfId="2"/>
    <tableColumn id="2" xr3:uid="{45177542-AB99-425E-9786-EF06BF15BCC3}" uniqueName="2" name="Region" queryTableFieldId="2" dataDxfId="1"/>
    <tableColumn id="3" xr3:uid="{45AEAEE8-A979-44DE-9E5D-0E9371BDA8F4}" uniqueName="3" name="Device" queryTableFieldId="3" dataDxfId="0"/>
    <tableColumn id="4" xr3:uid="{9E8CB168-C4A6-4D7D-9793-18485FC2612E}" uniqueName="4" name="Total_App_Installs" queryTableFieldId="4"/>
    <tableColumn id="5" xr3:uid="{47293DCD-D658-4191-9F07-FF6ACD1E747B}" uniqueName="5" name="User_Sign_Ups" queryTableFieldId="5"/>
    <tableColumn id="6" xr3:uid="{1F460DF6-CADD-40C7-A8CA-E23AA1103901}" uniqueName="6" name="Daily_Active_Users" queryTableFieldId="6"/>
    <tableColumn id="7" xr3:uid="{5150895A-40DC-40A8-A760-F05A3950E4B2}" uniqueName="7" name="Uninstalls" queryTableFieldId="7"/>
    <tableColumn id="8" xr3:uid="{79292D10-C077-4848-8D58-ABEA2939DAD6}" uniqueName="8" name="Number_of_App_Crashes" queryTableFieldId="8"/>
    <tableColumn id="9" xr3:uid="{0FA7478A-DC7F-4961-876E-25FE046ECF22}" uniqueName="9" name="Avg_Time_Spent_per_User_min" queryTableFieldId="9"/>
    <tableColumn id="10" xr3:uid="{A9C530D6-584F-4FB3-A27B-52302991D50E}" uniqueName="10" name="Num_Transactions" queryTableFieldId="10"/>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83A03-9D8A-44B7-A123-67181302165C}">
  <dimension ref="A1:J921"/>
  <sheetViews>
    <sheetView tabSelected="1" topLeftCell="A2" workbookViewId="0">
      <selection activeCell="A2" sqref="A2:A921"/>
    </sheetView>
  </sheetViews>
  <sheetFormatPr baseColWidth="10" defaultColWidth="8.6328125" defaultRowHeight="14.5" x14ac:dyDescent="0.35"/>
  <cols>
    <col min="1" max="1" width="15.08984375" bestFit="1" customWidth="1"/>
    <col min="2" max="3" width="8.81640625" bestFit="1" customWidth="1"/>
    <col min="4" max="4" width="18.36328125" bestFit="1" customWidth="1"/>
    <col min="5" max="5" width="15.453125" bestFit="1" customWidth="1"/>
    <col min="6" max="6" width="19" bestFit="1" customWidth="1"/>
    <col min="7" max="7" width="11.6328125" bestFit="1" customWidth="1"/>
    <col min="8" max="8" width="24.26953125" bestFit="1" customWidth="1"/>
    <col min="9" max="9" width="29.26953125" bestFit="1" customWidth="1"/>
    <col min="10" max="10" width="18.7265625" bestFit="1" customWidth="1"/>
  </cols>
  <sheetData>
    <row r="1" spans="1:10" x14ac:dyDescent="0.35">
      <c r="A1" t="s">
        <v>0</v>
      </c>
      <c r="B1" t="s">
        <v>1</v>
      </c>
      <c r="C1" t="s">
        <v>2</v>
      </c>
      <c r="D1" t="s">
        <v>3</v>
      </c>
      <c r="E1" t="s">
        <v>4</v>
      </c>
      <c r="F1" t="s">
        <v>5</v>
      </c>
      <c r="G1" t="s">
        <v>6</v>
      </c>
      <c r="H1" t="s">
        <v>7</v>
      </c>
      <c r="I1" t="s">
        <v>8</v>
      </c>
      <c r="J1" t="s">
        <v>9</v>
      </c>
    </row>
    <row r="2" spans="1:10" x14ac:dyDescent="0.35">
      <c r="A2" s="1">
        <v>45078</v>
      </c>
      <c r="B2" t="s">
        <v>10</v>
      </c>
      <c r="C2" t="s">
        <v>11</v>
      </c>
      <c r="D2">
        <v>9043</v>
      </c>
      <c r="E2">
        <v>8983</v>
      </c>
      <c r="F2">
        <v>1896</v>
      </c>
      <c r="G2">
        <v>64</v>
      </c>
      <c r="H2">
        <v>157</v>
      </c>
      <c r="I2">
        <v>24.58</v>
      </c>
      <c r="J2">
        <v>3352</v>
      </c>
    </row>
    <row r="3" spans="1:10" x14ac:dyDescent="0.35">
      <c r="A3" s="1">
        <v>45078</v>
      </c>
      <c r="B3" t="s">
        <v>10</v>
      </c>
      <c r="C3" t="s">
        <v>12</v>
      </c>
      <c r="D3">
        <v>9654</v>
      </c>
      <c r="E3">
        <v>5597</v>
      </c>
      <c r="F3">
        <v>1772</v>
      </c>
      <c r="G3">
        <v>37</v>
      </c>
      <c r="H3">
        <v>147</v>
      </c>
      <c r="I3">
        <v>15.13</v>
      </c>
      <c r="J3">
        <v>1878</v>
      </c>
    </row>
    <row r="4" spans="1:10" x14ac:dyDescent="0.35">
      <c r="A4" s="1">
        <v>45078</v>
      </c>
      <c r="B4" t="s">
        <v>13</v>
      </c>
      <c r="C4" t="s">
        <v>11</v>
      </c>
      <c r="D4">
        <v>6031</v>
      </c>
      <c r="E4">
        <v>2244</v>
      </c>
      <c r="F4">
        <v>2758</v>
      </c>
      <c r="G4">
        <v>19</v>
      </c>
      <c r="H4">
        <v>219</v>
      </c>
      <c r="I4">
        <v>80.98</v>
      </c>
      <c r="J4">
        <v>1364</v>
      </c>
    </row>
    <row r="5" spans="1:10" x14ac:dyDescent="0.35">
      <c r="A5" s="1">
        <v>45078</v>
      </c>
      <c r="B5" t="s">
        <v>13</v>
      </c>
      <c r="C5" t="s">
        <v>12</v>
      </c>
      <c r="D5">
        <v>2819</v>
      </c>
      <c r="E5">
        <v>1269</v>
      </c>
      <c r="F5">
        <v>1231</v>
      </c>
      <c r="G5">
        <v>12</v>
      </c>
      <c r="H5">
        <v>312</v>
      </c>
      <c r="I5">
        <v>177.23</v>
      </c>
      <c r="J5">
        <v>804</v>
      </c>
    </row>
    <row r="6" spans="1:10" x14ac:dyDescent="0.35">
      <c r="A6" s="1">
        <v>45078</v>
      </c>
      <c r="B6" t="s">
        <v>14</v>
      </c>
      <c r="C6" t="s">
        <v>11</v>
      </c>
      <c r="D6">
        <v>3917</v>
      </c>
      <c r="E6">
        <v>1071</v>
      </c>
      <c r="F6">
        <v>1375</v>
      </c>
      <c r="G6">
        <v>13</v>
      </c>
      <c r="H6">
        <v>150</v>
      </c>
      <c r="I6">
        <v>107.94</v>
      </c>
      <c r="J6">
        <v>53</v>
      </c>
    </row>
    <row r="7" spans="1:10" x14ac:dyDescent="0.35">
      <c r="A7" s="1">
        <v>45078</v>
      </c>
      <c r="B7" t="s">
        <v>14</v>
      </c>
      <c r="C7" t="s">
        <v>12</v>
      </c>
      <c r="D7">
        <v>6093</v>
      </c>
      <c r="E7">
        <v>2798</v>
      </c>
      <c r="F7">
        <v>3079</v>
      </c>
      <c r="G7">
        <v>17</v>
      </c>
      <c r="H7">
        <v>129</v>
      </c>
      <c r="I7">
        <v>20.67</v>
      </c>
      <c r="J7">
        <v>1533</v>
      </c>
    </row>
    <row r="8" spans="1:10" x14ac:dyDescent="0.35">
      <c r="A8" s="1">
        <v>45078</v>
      </c>
      <c r="B8" t="s">
        <v>15</v>
      </c>
      <c r="C8" t="s">
        <v>11</v>
      </c>
      <c r="D8">
        <v>5862</v>
      </c>
      <c r="E8">
        <v>3057</v>
      </c>
      <c r="F8">
        <v>3087</v>
      </c>
      <c r="G8">
        <v>22</v>
      </c>
      <c r="H8">
        <v>122</v>
      </c>
      <c r="I8">
        <v>45.5</v>
      </c>
      <c r="J8">
        <v>1517</v>
      </c>
    </row>
    <row r="9" spans="1:10" x14ac:dyDescent="0.35">
      <c r="A9" s="1">
        <v>45078</v>
      </c>
      <c r="B9" t="s">
        <v>15</v>
      </c>
      <c r="C9" t="s">
        <v>12</v>
      </c>
      <c r="D9">
        <v>3598</v>
      </c>
      <c r="E9">
        <v>3045</v>
      </c>
      <c r="F9">
        <v>1506</v>
      </c>
      <c r="G9">
        <v>31</v>
      </c>
      <c r="H9">
        <v>115</v>
      </c>
      <c r="I9">
        <v>29.6</v>
      </c>
      <c r="J9">
        <v>1080</v>
      </c>
    </row>
    <row r="10" spans="1:10" x14ac:dyDescent="0.35">
      <c r="A10" s="1">
        <v>45078</v>
      </c>
      <c r="B10" t="s">
        <v>16</v>
      </c>
      <c r="C10" t="s">
        <v>11</v>
      </c>
      <c r="D10">
        <v>3194</v>
      </c>
      <c r="E10">
        <v>6269</v>
      </c>
      <c r="F10">
        <v>5641</v>
      </c>
      <c r="G10">
        <v>102</v>
      </c>
      <c r="H10">
        <v>145</v>
      </c>
      <c r="I10">
        <v>73.86</v>
      </c>
      <c r="J10">
        <v>3589</v>
      </c>
    </row>
    <row r="11" spans="1:10" x14ac:dyDescent="0.35">
      <c r="A11" s="1">
        <v>45078</v>
      </c>
      <c r="B11" t="s">
        <v>16</v>
      </c>
      <c r="C11" t="s">
        <v>12</v>
      </c>
      <c r="D11">
        <v>3944</v>
      </c>
      <c r="E11">
        <v>2670</v>
      </c>
      <c r="F11">
        <v>1534</v>
      </c>
      <c r="G11">
        <v>22</v>
      </c>
      <c r="H11">
        <v>129</v>
      </c>
      <c r="I11">
        <v>142.41999999999999</v>
      </c>
      <c r="J11">
        <v>574</v>
      </c>
    </row>
    <row r="12" spans="1:10" x14ac:dyDescent="0.35">
      <c r="A12" s="1">
        <v>45079</v>
      </c>
      <c r="B12" t="s">
        <v>10</v>
      </c>
      <c r="C12" t="s">
        <v>11</v>
      </c>
      <c r="D12">
        <v>6324</v>
      </c>
      <c r="E12">
        <v>2853</v>
      </c>
      <c r="F12">
        <v>2274</v>
      </c>
      <c r="G12">
        <v>15</v>
      </c>
      <c r="H12">
        <v>186</v>
      </c>
      <c r="I12">
        <v>27.22</v>
      </c>
      <c r="J12">
        <v>1410</v>
      </c>
    </row>
    <row r="13" spans="1:10" x14ac:dyDescent="0.35">
      <c r="A13" s="1">
        <v>45079</v>
      </c>
      <c r="B13" t="s">
        <v>10</v>
      </c>
      <c r="C13" t="s">
        <v>12</v>
      </c>
      <c r="D13">
        <v>9282</v>
      </c>
      <c r="E13">
        <v>6579</v>
      </c>
      <c r="F13">
        <v>5152</v>
      </c>
      <c r="G13">
        <v>103</v>
      </c>
      <c r="H13">
        <v>119</v>
      </c>
      <c r="I13">
        <v>68.66</v>
      </c>
      <c r="J13">
        <v>2587</v>
      </c>
    </row>
    <row r="14" spans="1:10" x14ac:dyDescent="0.35">
      <c r="A14" s="1">
        <v>45079</v>
      </c>
      <c r="B14" t="s">
        <v>13</v>
      </c>
      <c r="C14" t="s">
        <v>11</v>
      </c>
      <c r="D14">
        <v>8660</v>
      </c>
      <c r="E14">
        <v>7762</v>
      </c>
      <c r="F14">
        <v>5461</v>
      </c>
      <c r="G14">
        <v>64</v>
      </c>
      <c r="H14">
        <v>128</v>
      </c>
      <c r="I14">
        <v>140.53</v>
      </c>
      <c r="J14">
        <v>2579</v>
      </c>
    </row>
    <row r="15" spans="1:10" x14ac:dyDescent="0.35">
      <c r="A15" s="1">
        <v>45079</v>
      </c>
      <c r="B15" t="s">
        <v>13</v>
      </c>
      <c r="C15" t="s">
        <v>12</v>
      </c>
      <c r="D15">
        <v>4954</v>
      </c>
      <c r="E15">
        <v>2030</v>
      </c>
      <c r="F15">
        <v>1546</v>
      </c>
      <c r="G15">
        <v>16</v>
      </c>
      <c r="H15">
        <v>122</v>
      </c>
      <c r="I15">
        <v>32.799999999999997</v>
      </c>
      <c r="J15">
        <v>958</v>
      </c>
    </row>
    <row r="16" spans="1:10" x14ac:dyDescent="0.35">
      <c r="A16" s="1">
        <v>45079</v>
      </c>
      <c r="B16" t="s">
        <v>14</v>
      </c>
      <c r="C16" t="s">
        <v>11</v>
      </c>
      <c r="D16">
        <v>3518</v>
      </c>
      <c r="E16">
        <v>2456</v>
      </c>
      <c r="F16">
        <v>1592</v>
      </c>
      <c r="G16">
        <v>21</v>
      </c>
      <c r="H16">
        <v>92</v>
      </c>
      <c r="I16">
        <v>104.07</v>
      </c>
      <c r="J16">
        <v>1128</v>
      </c>
    </row>
    <row r="17" spans="1:10" x14ac:dyDescent="0.35">
      <c r="A17" s="1">
        <v>45079</v>
      </c>
      <c r="B17" t="s">
        <v>14</v>
      </c>
      <c r="C17" t="s">
        <v>12</v>
      </c>
      <c r="D17">
        <v>3854</v>
      </c>
      <c r="E17">
        <v>1560</v>
      </c>
      <c r="F17">
        <v>1491</v>
      </c>
      <c r="G17">
        <v>9</v>
      </c>
      <c r="H17">
        <v>82</v>
      </c>
      <c r="I17">
        <v>63.78</v>
      </c>
      <c r="J17">
        <v>556</v>
      </c>
    </row>
    <row r="18" spans="1:10" x14ac:dyDescent="0.35">
      <c r="A18" s="1">
        <v>45079</v>
      </c>
      <c r="B18" t="s">
        <v>15</v>
      </c>
      <c r="C18" t="s">
        <v>11</v>
      </c>
      <c r="D18">
        <v>4876</v>
      </c>
      <c r="E18">
        <v>4229</v>
      </c>
      <c r="F18">
        <v>1736</v>
      </c>
      <c r="G18">
        <v>61</v>
      </c>
      <c r="H18">
        <v>87</v>
      </c>
      <c r="I18">
        <v>73.790000000000006</v>
      </c>
      <c r="J18">
        <v>1218</v>
      </c>
    </row>
    <row r="19" spans="1:10" x14ac:dyDescent="0.35">
      <c r="A19" s="1">
        <v>45079</v>
      </c>
      <c r="B19" t="s">
        <v>15</v>
      </c>
      <c r="C19" t="s">
        <v>12</v>
      </c>
      <c r="D19">
        <v>3086</v>
      </c>
      <c r="E19">
        <v>985</v>
      </c>
      <c r="F19">
        <v>1321</v>
      </c>
      <c r="G19">
        <v>41</v>
      </c>
      <c r="H19">
        <v>118</v>
      </c>
      <c r="I19">
        <v>42.17</v>
      </c>
      <c r="J19">
        <v>883</v>
      </c>
    </row>
    <row r="20" spans="1:10" x14ac:dyDescent="0.35">
      <c r="A20" s="1">
        <v>45079</v>
      </c>
      <c r="B20" t="s">
        <v>16</v>
      </c>
      <c r="C20" t="s">
        <v>11</v>
      </c>
      <c r="D20">
        <v>6318</v>
      </c>
      <c r="E20">
        <v>3415</v>
      </c>
      <c r="F20">
        <v>2123</v>
      </c>
      <c r="G20">
        <v>26</v>
      </c>
      <c r="H20">
        <v>157</v>
      </c>
      <c r="I20">
        <v>51.1</v>
      </c>
      <c r="J20">
        <v>959</v>
      </c>
    </row>
    <row r="21" spans="1:10" x14ac:dyDescent="0.35">
      <c r="A21" s="1">
        <v>45079</v>
      </c>
      <c r="B21" t="s">
        <v>16</v>
      </c>
      <c r="C21" t="s">
        <v>12</v>
      </c>
      <c r="D21">
        <v>2598</v>
      </c>
      <c r="E21">
        <v>1938</v>
      </c>
      <c r="F21">
        <v>1537</v>
      </c>
      <c r="G21">
        <v>18</v>
      </c>
      <c r="H21">
        <v>131</v>
      </c>
      <c r="I21">
        <v>132.52000000000001</v>
      </c>
      <c r="J21">
        <v>1127</v>
      </c>
    </row>
    <row r="22" spans="1:10" x14ac:dyDescent="0.35">
      <c r="A22" s="1">
        <v>45080</v>
      </c>
      <c r="B22" t="s">
        <v>10</v>
      </c>
      <c r="C22" t="s">
        <v>11</v>
      </c>
      <c r="D22">
        <v>5972</v>
      </c>
      <c r="E22">
        <v>2658</v>
      </c>
      <c r="F22">
        <v>2884</v>
      </c>
      <c r="G22">
        <v>14</v>
      </c>
      <c r="H22">
        <v>135</v>
      </c>
      <c r="I22">
        <v>164.86</v>
      </c>
      <c r="J22">
        <v>1517</v>
      </c>
    </row>
    <row r="23" spans="1:10" x14ac:dyDescent="0.35">
      <c r="A23" s="1">
        <v>45080</v>
      </c>
      <c r="B23" t="s">
        <v>10</v>
      </c>
      <c r="C23" t="s">
        <v>12</v>
      </c>
      <c r="D23">
        <v>700</v>
      </c>
      <c r="E23">
        <v>7300</v>
      </c>
      <c r="F23">
        <v>4343</v>
      </c>
      <c r="G23">
        <v>82</v>
      </c>
      <c r="H23">
        <v>136</v>
      </c>
      <c r="I23">
        <v>75.989999999999995</v>
      </c>
      <c r="J23">
        <v>2383</v>
      </c>
    </row>
    <row r="24" spans="1:10" x14ac:dyDescent="0.35">
      <c r="A24" s="1">
        <v>45080</v>
      </c>
      <c r="B24" t="s">
        <v>13</v>
      </c>
      <c r="C24" t="s">
        <v>11</v>
      </c>
      <c r="D24">
        <v>6613</v>
      </c>
      <c r="E24">
        <v>8112</v>
      </c>
      <c r="F24">
        <v>5197</v>
      </c>
      <c r="G24">
        <v>75</v>
      </c>
      <c r="H24">
        <v>71</v>
      </c>
      <c r="I24">
        <v>146.72999999999999</v>
      </c>
      <c r="J24">
        <v>3041</v>
      </c>
    </row>
    <row r="25" spans="1:10" x14ac:dyDescent="0.35">
      <c r="A25" s="1">
        <v>45080</v>
      </c>
      <c r="B25" t="s">
        <v>13</v>
      </c>
      <c r="C25" t="s">
        <v>12</v>
      </c>
      <c r="D25">
        <v>6586</v>
      </c>
      <c r="E25">
        <v>3101</v>
      </c>
      <c r="F25">
        <v>2056</v>
      </c>
      <c r="G25">
        <v>22</v>
      </c>
      <c r="H25">
        <v>66</v>
      </c>
      <c r="I25">
        <v>99.5</v>
      </c>
      <c r="J25">
        <v>1164</v>
      </c>
    </row>
    <row r="26" spans="1:10" x14ac:dyDescent="0.35">
      <c r="A26" s="1">
        <v>45080</v>
      </c>
      <c r="B26" t="s">
        <v>14</v>
      </c>
      <c r="C26" t="s">
        <v>11</v>
      </c>
      <c r="D26">
        <v>8003</v>
      </c>
      <c r="E26">
        <v>3929</v>
      </c>
      <c r="F26">
        <v>4659</v>
      </c>
      <c r="G26">
        <v>24</v>
      </c>
      <c r="H26">
        <v>55</v>
      </c>
      <c r="I26">
        <v>37.69</v>
      </c>
      <c r="J26">
        <v>2231</v>
      </c>
    </row>
    <row r="27" spans="1:10" x14ac:dyDescent="0.35">
      <c r="A27" s="1">
        <v>45080</v>
      </c>
      <c r="B27" t="s">
        <v>14</v>
      </c>
      <c r="C27" t="s">
        <v>12</v>
      </c>
      <c r="D27">
        <v>5262</v>
      </c>
      <c r="E27">
        <v>4048</v>
      </c>
      <c r="F27">
        <v>2433</v>
      </c>
      <c r="G27">
        <v>30</v>
      </c>
      <c r="H27">
        <v>59</v>
      </c>
      <c r="I27">
        <v>149.84</v>
      </c>
      <c r="J27">
        <v>1492</v>
      </c>
    </row>
    <row r="28" spans="1:10" x14ac:dyDescent="0.35">
      <c r="A28" s="1">
        <v>45080</v>
      </c>
      <c r="B28" t="s">
        <v>15</v>
      </c>
      <c r="C28" t="s">
        <v>11</v>
      </c>
      <c r="D28">
        <v>4262</v>
      </c>
      <c r="E28">
        <v>2608</v>
      </c>
      <c r="F28">
        <v>2553</v>
      </c>
      <c r="G28">
        <v>21</v>
      </c>
      <c r="H28">
        <v>56</v>
      </c>
      <c r="I28">
        <v>119.46</v>
      </c>
      <c r="J28">
        <v>1875</v>
      </c>
    </row>
    <row r="29" spans="1:10" x14ac:dyDescent="0.35">
      <c r="A29" s="1">
        <v>45080</v>
      </c>
      <c r="B29" t="s">
        <v>15</v>
      </c>
      <c r="C29" t="s">
        <v>12</v>
      </c>
      <c r="D29">
        <v>3050</v>
      </c>
      <c r="E29">
        <v>1344</v>
      </c>
      <c r="F29">
        <v>1689</v>
      </c>
      <c r="G29">
        <v>18</v>
      </c>
      <c r="H29">
        <v>50</v>
      </c>
      <c r="I29">
        <v>120.94</v>
      </c>
      <c r="J29">
        <v>1158</v>
      </c>
    </row>
    <row r="30" spans="1:10" x14ac:dyDescent="0.35">
      <c r="A30" s="1">
        <v>45080</v>
      </c>
      <c r="B30" t="s">
        <v>16</v>
      </c>
      <c r="C30" t="s">
        <v>11</v>
      </c>
      <c r="D30">
        <v>5724</v>
      </c>
      <c r="E30">
        <v>9798</v>
      </c>
      <c r="F30">
        <v>5370</v>
      </c>
      <c r="G30">
        <v>139</v>
      </c>
      <c r="H30">
        <v>64</v>
      </c>
      <c r="I30">
        <v>175.65</v>
      </c>
      <c r="J30">
        <v>3014</v>
      </c>
    </row>
    <row r="31" spans="1:10" x14ac:dyDescent="0.35">
      <c r="A31" s="1">
        <v>45080</v>
      </c>
      <c r="B31" t="s">
        <v>16</v>
      </c>
      <c r="C31" t="s">
        <v>12</v>
      </c>
      <c r="D31">
        <v>3184</v>
      </c>
      <c r="E31">
        <v>1133</v>
      </c>
      <c r="F31">
        <v>1616</v>
      </c>
      <c r="G31">
        <v>13</v>
      </c>
      <c r="H31">
        <v>61</v>
      </c>
      <c r="I31">
        <v>17.98</v>
      </c>
      <c r="J31">
        <v>959</v>
      </c>
    </row>
    <row r="32" spans="1:10" x14ac:dyDescent="0.35">
      <c r="A32" s="1">
        <v>45081</v>
      </c>
      <c r="B32" t="s">
        <v>10</v>
      </c>
      <c r="C32" t="s">
        <v>11</v>
      </c>
      <c r="D32">
        <v>8544</v>
      </c>
      <c r="E32">
        <v>4052</v>
      </c>
      <c r="F32">
        <v>4228</v>
      </c>
      <c r="G32">
        <v>55</v>
      </c>
      <c r="H32">
        <v>54</v>
      </c>
      <c r="I32">
        <v>104.52</v>
      </c>
      <c r="J32">
        <v>2884</v>
      </c>
    </row>
    <row r="33" spans="1:10" x14ac:dyDescent="0.35">
      <c r="A33" s="1">
        <v>45081</v>
      </c>
      <c r="B33" t="s">
        <v>10</v>
      </c>
      <c r="C33" t="s">
        <v>12</v>
      </c>
      <c r="D33">
        <v>8488</v>
      </c>
      <c r="E33">
        <v>4284</v>
      </c>
      <c r="F33">
        <v>3168</v>
      </c>
      <c r="G33">
        <v>35</v>
      </c>
      <c r="H33">
        <v>44</v>
      </c>
      <c r="I33">
        <v>119.14</v>
      </c>
      <c r="J33">
        <v>2337</v>
      </c>
    </row>
    <row r="34" spans="1:10" x14ac:dyDescent="0.35">
      <c r="A34" s="1">
        <v>45081</v>
      </c>
      <c r="B34" t="s">
        <v>13</v>
      </c>
      <c r="C34" t="s">
        <v>11</v>
      </c>
      <c r="D34">
        <v>3135</v>
      </c>
      <c r="E34">
        <v>1542</v>
      </c>
      <c r="F34">
        <v>1570</v>
      </c>
      <c r="G34">
        <v>19</v>
      </c>
      <c r="H34">
        <v>30</v>
      </c>
      <c r="I34">
        <v>61.33</v>
      </c>
      <c r="J34">
        <v>1081</v>
      </c>
    </row>
    <row r="35" spans="1:10" x14ac:dyDescent="0.35">
      <c r="A35" s="1">
        <v>45081</v>
      </c>
      <c r="B35" t="s">
        <v>13</v>
      </c>
      <c r="C35" t="s">
        <v>12</v>
      </c>
      <c r="D35">
        <v>3857</v>
      </c>
      <c r="E35">
        <v>3060</v>
      </c>
      <c r="F35">
        <v>2308</v>
      </c>
      <c r="G35">
        <v>17</v>
      </c>
      <c r="H35">
        <v>78</v>
      </c>
      <c r="I35">
        <v>76.08</v>
      </c>
      <c r="J35">
        <v>1180</v>
      </c>
    </row>
    <row r="36" spans="1:10" x14ac:dyDescent="0.35">
      <c r="A36" s="1">
        <v>45081</v>
      </c>
      <c r="B36" t="s">
        <v>14</v>
      </c>
      <c r="C36" t="s">
        <v>11</v>
      </c>
      <c r="D36">
        <v>4434</v>
      </c>
      <c r="E36">
        <v>10590</v>
      </c>
      <c r="F36">
        <v>5326</v>
      </c>
      <c r="G36">
        <v>94</v>
      </c>
      <c r="H36">
        <v>126</v>
      </c>
      <c r="I36">
        <v>63.58</v>
      </c>
      <c r="J36">
        <v>2969</v>
      </c>
    </row>
    <row r="37" spans="1:10" x14ac:dyDescent="0.35">
      <c r="A37" s="1">
        <v>45081</v>
      </c>
      <c r="B37" t="s">
        <v>14</v>
      </c>
      <c r="C37" t="s">
        <v>12</v>
      </c>
      <c r="D37">
        <v>2392</v>
      </c>
      <c r="E37">
        <v>902</v>
      </c>
      <c r="F37">
        <v>1066</v>
      </c>
      <c r="G37">
        <v>40</v>
      </c>
      <c r="H37">
        <v>112</v>
      </c>
      <c r="I37">
        <v>129.84</v>
      </c>
      <c r="J37">
        <v>98</v>
      </c>
    </row>
    <row r="38" spans="1:10" x14ac:dyDescent="0.35">
      <c r="A38" s="1">
        <v>45081</v>
      </c>
      <c r="B38" t="s">
        <v>15</v>
      </c>
      <c r="C38" t="s">
        <v>11</v>
      </c>
      <c r="D38">
        <v>2069</v>
      </c>
      <c r="E38">
        <v>601</v>
      </c>
      <c r="F38">
        <v>1037</v>
      </c>
      <c r="G38">
        <v>37</v>
      </c>
      <c r="H38">
        <v>121</v>
      </c>
      <c r="I38">
        <v>68.22</v>
      </c>
      <c r="J38">
        <v>78</v>
      </c>
    </row>
    <row r="39" spans="1:10" x14ac:dyDescent="0.35">
      <c r="A39" s="1">
        <v>45081</v>
      </c>
      <c r="B39" t="s">
        <v>15</v>
      </c>
      <c r="C39" t="s">
        <v>12</v>
      </c>
      <c r="D39">
        <v>3273</v>
      </c>
      <c r="E39">
        <v>2428</v>
      </c>
      <c r="F39">
        <v>1335</v>
      </c>
      <c r="G39">
        <v>32</v>
      </c>
      <c r="H39">
        <v>118</v>
      </c>
      <c r="I39">
        <v>57.27</v>
      </c>
      <c r="J39">
        <v>577</v>
      </c>
    </row>
    <row r="40" spans="1:10" x14ac:dyDescent="0.35">
      <c r="A40" s="1">
        <v>45081</v>
      </c>
      <c r="B40" t="s">
        <v>16</v>
      </c>
      <c r="C40" t="s">
        <v>11</v>
      </c>
      <c r="D40">
        <v>9388</v>
      </c>
      <c r="E40">
        <v>8426</v>
      </c>
      <c r="F40">
        <v>4229</v>
      </c>
      <c r="G40">
        <v>92</v>
      </c>
      <c r="H40">
        <v>160</v>
      </c>
      <c r="I40">
        <v>23.38</v>
      </c>
      <c r="J40">
        <v>2788</v>
      </c>
    </row>
    <row r="41" spans="1:10" x14ac:dyDescent="0.35">
      <c r="A41" s="1">
        <v>45081</v>
      </c>
      <c r="B41" t="s">
        <v>16</v>
      </c>
      <c r="C41" t="s">
        <v>12</v>
      </c>
      <c r="D41">
        <v>4401</v>
      </c>
      <c r="E41">
        <v>2127</v>
      </c>
      <c r="F41">
        <v>1444</v>
      </c>
      <c r="G41">
        <v>20</v>
      </c>
      <c r="H41">
        <v>96</v>
      </c>
      <c r="I41">
        <v>40.58</v>
      </c>
      <c r="J41">
        <v>809</v>
      </c>
    </row>
    <row r="42" spans="1:10" x14ac:dyDescent="0.35">
      <c r="A42" s="1">
        <v>45082</v>
      </c>
      <c r="B42" t="s">
        <v>10</v>
      </c>
      <c r="C42" t="s">
        <v>11</v>
      </c>
      <c r="D42">
        <v>7808</v>
      </c>
      <c r="E42">
        <v>6609</v>
      </c>
      <c r="F42">
        <v>4578</v>
      </c>
      <c r="G42">
        <v>78</v>
      </c>
      <c r="H42">
        <v>88</v>
      </c>
      <c r="I42">
        <v>103.62</v>
      </c>
      <c r="J42">
        <v>1450</v>
      </c>
    </row>
    <row r="43" spans="1:10" x14ac:dyDescent="0.35">
      <c r="A43" s="1">
        <v>45082</v>
      </c>
      <c r="B43" t="s">
        <v>10</v>
      </c>
      <c r="C43" t="s">
        <v>12</v>
      </c>
      <c r="D43">
        <v>9511</v>
      </c>
      <c r="E43">
        <v>5859</v>
      </c>
      <c r="F43">
        <v>3469</v>
      </c>
      <c r="G43">
        <v>82</v>
      </c>
      <c r="H43">
        <v>46</v>
      </c>
      <c r="I43">
        <v>47.07</v>
      </c>
      <c r="J43">
        <v>2013</v>
      </c>
    </row>
    <row r="44" spans="1:10" x14ac:dyDescent="0.35">
      <c r="A44" s="1">
        <v>45082</v>
      </c>
      <c r="B44" t="s">
        <v>13</v>
      </c>
      <c r="C44" t="s">
        <v>11</v>
      </c>
      <c r="D44">
        <v>5485</v>
      </c>
      <c r="E44">
        <v>4079</v>
      </c>
      <c r="F44">
        <v>1864</v>
      </c>
      <c r="G44">
        <v>27</v>
      </c>
      <c r="H44">
        <v>30</v>
      </c>
      <c r="I44">
        <v>146.21</v>
      </c>
      <c r="J44">
        <v>1372</v>
      </c>
    </row>
    <row r="45" spans="1:10" x14ac:dyDescent="0.35">
      <c r="A45" s="1">
        <v>45082</v>
      </c>
      <c r="B45" t="s">
        <v>13</v>
      </c>
      <c r="C45" t="s">
        <v>12</v>
      </c>
      <c r="D45">
        <v>2332</v>
      </c>
      <c r="E45">
        <v>1287</v>
      </c>
      <c r="F45">
        <v>875</v>
      </c>
      <c r="G45">
        <v>18</v>
      </c>
      <c r="H45">
        <v>42</v>
      </c>
      <c r="I45">
        <v>129.84</v>
      </c>
      <c r="J45">
        <v>135</v>
      </c>
    </row>
    <row r="46" spans="1:10" x14ac:dyDescent="0.35">
      <c r="A46" s="1">
        <v>45082</v>
      </c>
      <c r="B46" t="s">
        <v>14</v>
      </c>
      <c r="C46" t="s">
        <v>11</v>
      </c>
      <c r="D46">
        <v>8522</v>
      </c>
      <c r="E46">
        <v>2402</v>
      </c>
      <c r="F46">
        <v>3688</v>
      </c>
      <c r="G46">
        <v>38</v>
      </c>
      <c r="H46">
        <v>43</v>
      </c>
      <c r="I46">
        <v>123.93</v>
      </c>
      <c r="J46">
        <v>1504</v>
      </c>
    </row>
    <row r="47" spans="1:10" x14ac:dyDescent="0.35">
      <c r="A47" s="1">
        <v>45082</v>
      </c>
      <c r="B47" t="s">
        <v>14</v>
      </c>
      <c r="C47" t="s">
        <v>12</v>
      </c>
      <c r="D47">
        <v>7274</v>
      </c>
      <c r="E47">
        <v>6746</v>
      </c>
      <c r="F47">
        <v>3392</v>
      </c>
      <c r="G47">
        <v>92</v>
      </c>
      <c r="H47">
        <v>44</v>
      </c>
      <c r="I47">
        <v>108.4</v>
      </c>
      <c r="J47">
        <v>1951</v>
      </c>
    </row>
    <row r="48" spans="1:10" x14ac:dyDescent="0.35">
      <c r="A48" s="1">
        <v>45082</v>
      </c>
      <c r="B48" t="s">
        <v>15</v>
      </c>
      <c r="C48" t="s">
        <v>11</v>
      </c>
      <c r="D48">
        <v>2552</v>
      </c>
      <c r="E48">
        <v>2004</v>
      </c>
      <c r="F48">
        <v>854</v>
      </c>
      <c r="G48">
        <v>10</v>
      </c>
      <c r="H48">
        <v>50</v>
      </c>
      <c r="I48">
        <v>176.62</v>
      </c>
      <c r="J48">
        <v>174</v>
      </c>
    </row>
    <row r="49" spans="1:10" x14ac:dyDescent="0.35">
      <c r="A49" s="1">
        <v>45082</v>
      </c>
      <c r="B49" t="s">
        <v>15</v>
      </c>
      <c r="C49" t="s">
        <v>12</v>
      </c>
      <c r="D49">
        <v>3548</v>
      </c>
      <c r="E49">
        <v>2063</v>
      </c>
      <c r="F49">
        <v>1588</v>
      </c>
      <c r="G49">
        <v>13</v>
      </c>
      <c r="H49">
        <v>64</v>
      </c>
      <c r="I49">
        <v>122.21</v>
      </c>
      <c r="J49">
        <v>815</v>
      </c>
    </row>
    <row r="50" spans="1:10" x14ac:dyDescent="0.35">
      <c r="A50" s="1">
        <v>45082</v>
      </c>
      <c r="B50" t="s">
        <v>16</v>
      </c>
      <c r="C50" t="s">
        <v>11</v>
      </c>
      <c r="D50">
        <v>6529</v>
      </c>
      <c r="E50">
        <v>4461</v>
      </c>
      <c r="F50">
        <v>2047</v>
      </c>
      <c r="G50">
        <v>55</v>
      </c>
      <c r="H50">
        <v>117</v>
      </c>
      <c r="I50">
        <v>156.32</v>
      </c>
      <c r="J50">
        <v>959</v>
      </c>
    </row>
    <row r="51" spans="1:10" x14ac:dyDescent="0.35">
      <c r="A51" s="1">
        <v>45082</v>
      </c>
      <c r="B51" t="s">
        <v>16</v>
      </c>
      <c r="C51" t="s">
        <v>12</v>
      </c>
      <c r="D51">
        <v>5816</v>
      </c>
      <c r="E51">
        <v>4260</v>
      </c>
      <c r="F51">
        <v>3392</v>
      </c>
      <c r="G51">
        <v>52</v>
      </c>
      <c r="H51">
        <v>104</v>
      </c>
      <c r="I51">
        <v>170.14</v>
      </c>
      <c r="J51">
        <v>2459</v>
      </c>
    </row>
    <row r="52" spans="1:10" x14ac:dyDescent="0.35">
      <c r="A52" s="1">
        <v>45083</v>
      </c>
      <c r="B52" t="s">
        <v>10</v>
      </c>
      <c r="C52" t="s">
        <v>11</v>
      </c>
      <c r="D52">
        <v>6018</v>
      </c>
      <c r="E52">
        <v>4378</v>
      </c>
      <c r="F52">
        <v>2037</v>
      </c>
      <c r="G52">
        <v>51</v>
      </c>
      <c r="H52">
        <v>66</v>
      </c>
      <c r="I52">
        <v>78.709999999999994</v>
      </c>
      <c r="J52">
        <v>1355</v>
      </c>
    </row>
    <row r="53" spans="1:10" x14ac:dyDescent="0.35">
      <c r="A53" s="1">
        <v>45083</v>
      </c>
      <c r="B53" t="s">
        <v>10</v>
      </c>
      <c r="C53" t="s">
        <v>12</v>
      </c>
      <c r="D53">
        <v>6322</v>
      </c>
      <c r="E53">
        <v>4482</v>
      </c>
      <c r="F53">
        <v>2416</v>
      </c>
      <c r="G53">
        <v>33</v>
      </c>
      <c r="H53">
        <v>42</v>
      </c>
      <c r="I53">
        <v>30.58</v>
      </c>
      <c r="J53">
        <v>958</v>
      </c>
    </row>
    <row r="54" spans="1:10" x14ac:dyDescent="0.35">
      <c r="A54" s="1">
        <v>45083</v>
      </c>
      <c r="B54" t="s">
        <v>13</v>
      </c>
      <c r="C54" t="s">
        <v>11</v>
      </c>
      <c r="D54">
        <v>4249</v>
      </c>
      <c r="E54">
        <v>2049</v>
      </c>
      <c r="F54">
        <v>1766</v>
      </c>
      <c r="G54">
        <v>26</v>
      </c>
      <c r="H54">
        <v>128</v>
      </c>
      <c r="I54">
        <v>61.51</v>
      </c>
      <c r="J54">
        <v>1071</v>
      </c>
    </row>
    <row r="55" spans="1:10" x14ac:dyDescent="0.35">
      <c r="A55" s="1">
        <v>45083</v>
      </c>
      <c r="B55" t="s">
        <v>13</v>
      </c>
      <c r="C55" t="s">
        <v>12</v>
      </c>
      <c r="D55">
        <v>3307</v>
      </c>
      <c r="E55">
        <v>2443</v>
      </c>
      <c r="F55">
        <v>1921</v>
      </c>
      <c r="G55">
        <v>22</v>
      </c>
      <c r="H55">
        <v>139</v>
      </c>
      <c r="I55">
        <v>105.42</v>
      </c>
      <c r="J55">
        <v>610</v>
      </c>
    </row>
    <row r="56" spans="1:10" x14ac:dyDescent="0.35">
      <c r="A56" s="1">
        <v>45083</v>
      </c>
      <c r="B56" t="s">
        <v>14</v>
      </c>
      <c r="C56" t="s">
        <v>11</v>
      </c>
      <c r="D56">
        <v>6593</v>
      </c>
      <c r="E56">
        <v>5145</v>
      </c>
      <c r="F56">
        <v>3937</v>
      </c>
      <c r="G56">
        <v>74</v>
      </c>
      <c r="H56">
        <v>117</v>
      </c>
      <c r="I56">
        <v>71.23</v>
      </c>
      <c r="J56">
        <v>1912</v>
      </c>
    </row>
    <row r="57" spans="1:10" x14ac:dyDescent="0.35">
      <c r="A57" s="1">
        <v>45083</v>
      </c>
      <c r="B57" t="s">
        <v>14</v>
      </c>
      <c r="C57" t="s">
        <v>12</v>
      </c>
      <c r="D57">
        <v>4943</v>
      </c>
      <c r="E57">
        <v>3186</v>
      </c>
      <c r="F57">
        <v>2491</v>
      </c>
      <c r="G57">
        <v>25</v>
      </c>
      <c r="H57">
        <v>31</v>
      </c>
      <c r="I57">
        <v>163.92</v>
      </c>
      <c r="J57">
        <v>1577</v>
      </c>
    </row>
    <row r="58" spans="1:10" x14ac:dyDescent="0.35">
      <c r="A58" s="1">
        <v>45083</v>
      </c>
      <c r="B58" t="s">
        <v>15</v>
      </c>
      <c r="C58" t="s">
        <v>11</v>
      </c>
      <c r="D58">
        <v>5819</v>
      </c>
      <c r="E58">
        <v>3477</v>
      </c>
      <c r="F58">
        <v>2265</v>
      </c>
      <c r="G58">
        <v>33</v>
      </c>
      <c r="H58">
        <v>100</v>
      </c>
      <c r="I58">
        <v>154.78</v>
      </c>
      <c r="J58">
        <v>782</v>
      </c>
    </row>
    <row r="59" spans="1:10" x14ac:dyDescent="0.35">
      <c r="A59" s="1">
        <v>45083</v>
      </c>
      <c r="B59" t="s">
        <v>15</v>
      </c>
      <c r="C59" t="s">
        <v>12</v>
      </c>
      <c r="D59">
        <v>1872</v>
      </c>
      <c r="E59">
        <v>880</v>
      </c>
      <c r="F59">
        <v>1095</v>
      </c>
      <c r="G59">
        <v>14</v>
      </c>
      <c r="H59">
        <v>94</v>
      </c>
      <c r="I59">
        <v>30.13</v>
      </c>
      <c r="J59">
        <v>611</v>
      </c>
    </row>
    <row r="60" spans="1:10" x14ac:dyDescent="0.35">
      <c r="A60" s="1">
        <v>45083</v>
      </c>
      <c r="B60" t="s">
        <v>16</v>
      </c>
      <c r="C60" t="s">
        <v>11</v>
      </c>
      <c r="D60">
        <v>5695</v>
      </c>
      <c r="E60">
        <v>2714</v>
      </c>
      <c r="F60">
        <v>2994</v>
      </c>
      <c r="G60">
        <v>35</v>
      </c>
      <c r="H60">
        <v>125</v>
      </c>
      <c r="I60">
        <v>168.6</v>
      </c>
      <c r="J60">
        <v>1964</v>
      </c>
    </row>
    <row r="61" spans="1:10" x14ac:dyDescent="0.35">
      <c r="A61" s="1">
        <v>45083</v>
      </c>
      <c r="B61" t="s">
        <v>16</v>
      </c>
      <c r="C61" t="s">
        <v>12</v>
      </c>
      <c r="D61">
        <v>4122</v>
      </c>
      <c r="E61">
        <v>1160</v>
      </c>
      <c r="F61">
        <v>1783</v>
      </c>
      <c r="G61">
        <v>13</v>
      </c>
      <c r="H61">
        <v>98</v>
      </c>
      <c r="I61">
        <v>174.83</v>
      </c>
      <c r="J61">
        <v>1247</v>
      </c>
    </row>
    <row r="62" spans="1:10" x14ac:dyDescent="0.35">
      <c r="A62" s="1">
        <v>45084</v>
      </c>
      <c r="B62" t="s">
        <v>10</v>
      </c>
      <c r="C62" t="s">
        <v>11</v>
      </c>
      <c r="D62">
        <v>6017</v>
      </c>
      <c r="E62">
        <v>9283</v>
      </c>
      <c r="F62">
        <v>6076</v>
      </c>
      <c r="G62">
        <v>140</v>
      </c>
      <c r="H62">
        <v>89</v>
      </c>
      <c r="I62">
        <v>150.61000000000001</v>
      </c>
      <c r="J62">
        <v>2988</v>
      </c>
    </row>
    <row r="63" spans="1:10" x14ac:dyDescent="0.35">
      <c r="A63" s="1">
        <v>45084</v>
      </c>
      <c r="B63" t="s">
        <v>10</v>
      </c>
      <c r="C63" t="s">
        <v>12</v>
      </c>
      <c r="D63">
        <v>4609</v>
      </c>
      <c r="E63">
        <v>1592</v>
      </c>
      <c r="F63">
        <v>1705</v>
      </c>
      <c r="G63">
        <v>17</v>
      </c>
      <c r="H63">
        <v>53</v>
      </c>
      <c r="I63">
        <v>149.11000000000001</v>
      </c>
      <c r="J63">
        <v>957</v>
      </c>
    </row>
    <row r="64" spans="1:10" x14ac:dyDescent="0.35">
      <c r="A64" s="1">
        <v>45084</v>
      </c>
      <c r="B64" t="s">
        <v>13</v>
      </c>
      <c r="C64" t="s">
        <v>11</v>
      </c>
      <c r="D64">
        <v>8221</v>
      </c>
      <c r="E64">
        <v>7345</v>
      </c>
      <c r="F64">
        <v>3330</v>
      </c>
      <c r="G64">
        <v>87</v>
      </c>
      <c r="H64">
        <v>56</v>
      </c>
      <c r="I64">
        <v>107.14</v>
      </c>
      <c r="J64">
        <v>2060</v>
      </c>
    </row>
    <row r="65" spans="1:10" x14ac:dyDescent="0.35">
      <c r="A65" s="1">
        <v>45084</v>
      </c>
      <c r="B65" t="s">
        <v>13</v>
      </c>
      <c r="C65" t="s">
        <v>12</v>
      </c>
      <c r="D65">
        <v>3674</v>
      </c>
      <c r="E65">
        <v>1540</v>
      </c>
      <c r="F65">
        <v>1581</v>
      </c>
      <c r="G65">
        <v>14</v>
      </c>
      <c r="H65">
        <v>90</v>
      </c>
      <c r="I65">
        <v>24.29</v>
      </c>
      <c r="J65">
        <v>655</v>
      </c>
    </row>
    <row r="66" spans="1:10" x14ac:dyDescent="0.35">
      <c r="A66" s="1">
        <v>45084</v>
      </c>
      <c r="B66" t="s">
        <v>14</v>
      </c>
      <c r="C66" t="s">
        <v>11</v>
      </c>
      <c r="D66">
        <v>6971</v>
      </c>
      <c r="E66">
        <v>5524</v>
      </c>
      <c r="F66">
        <v>3648</v>
      </c>
      <c r="G66">
        <v>81</v>
      </c>
      <c r="H66">
        <v>35</v>
      </c>
      <c r="I66">
        <v>93.82</v>
      </c>
      <c r="J66">
        <v>2212</v>
      </c>
    </row>
    <row r="67" spans="1:10" x14ac:dyDescent="0.35">
      <c r="A67" s="1">
        <v>45084</v>
      </c>
      <c r="B67" t="s">
        <v>14</v>
      </c>
      <c r="C67" t="s">
        <v>12</v>
      </c>
      <c r="D67">
        <v>5030</v>
      </c>
      <c r="E67">
        <v>4353</v>
      </c>
      <c r="F67">
        <v>2963</v>
      </c>
      <c r="G67">
        <v>33</v>
      </c>
      <c r="H67">
        <v>33</v>
      </c>
      <c r="I67">
        <v>68.239999999999995</v>
      </c>
      <c r="J67">
        <v>905</v>
      </c>
    </row>
    <row r="68" spans="1:10" x14ac:dyDescent="0.35">
      <c r="A68" s="1">
        <v>45084</v>
      </c>
      <c r="B68" t="s">
        <v>15</v>
      </c>
      <c r="C68" t="s">
        <v>11</v>
      </c>
      <c r="D68">
        <v>2753</v>
      </c>
      <c r="E68">
        <v>1706</v>
      </c>
      <c r="F68">
        <v>2887</v>
      </c>
      <c r="G68">
        <v>28</v>
      </c>
      <c r="H68">
        <v>88</v>
      </c>
      <c r="I68">
        <v>118.85</v>
      </c>
      <c r="J68">
        <v>287</v>
      </c>
    </row>
    <row r="69" spans="1:10" x14ac:dyDescent="0.35">
      <c r="A69" s="1">
        <v>45084</v>
      </c>
      <c r="B69" t="s">
        <v>15</v>
      </c>
      <c r="C69" t="s">
        <v>12</v>
      </c>
      <c r="D69">
        <v>2129</v>
      </c>
      <c r="E69">
        <v>962</v>
      </c>
      <c r="F69">
        <v>1084</v>
      </c>
      <c r="G69">
        <v>16</v>
      </c>
      <c r="H69">
        <v>44</v>
      </c>
      <c r="I69">
        <v>173.19</v>
      </c>
      <c r="J69">
        <v>512</v>
      </c>
    </row>
    <row r="70" spans="1:10" x14ac:dyDescent="0.35">
      <c r="A70" s="1">
        <v>45084</v>
      </c>
      <c r="B70" t="s">
        <v>16</v>
      </c>
      <c r="C70" t="s">
        <v>11</v>
      </c>
      <c r="D70">
        <v>9614</v>
      </c>
      <c r="E70">
        <v>8469</v>
      </c>
      <c r="F70">
        <v>4673</v>
      </c>
      <c r="G70">
        <v>87</v>
      </c>
      <c r="H70">
        <v>113</v>
      </c>
      <c r="I70">
        <v>79.06</v>
      </c>
      <c r="J70">
        <v>1985</v>
      </c>
    </row>
    <row r="71" spans="1:10" x14ac:dyDescent="0.35">
      <c r="A71" s="1">
        <v>45084</v>
      </c>
      <c r="B71" t="s">
        <v>16</v>
      </c>
      <c r="C71" t="s">
        <v>12</v>
      </c>
      <c r="D71">
        <v>4993</v>
      </c>
      <c r="E71">
        <v>3297</v>
      </c>
      <c r="F71">
        <v>2958</v>
      </c>
      <c r="G71">
        <v>19</v>
      </c>
      <c r="H71">
        <v>98</v>
      </c>
      <c r="I71">
        <v>61.16</v>
      </c>
      <c r="J71">
        <v>2200</v>
      </c>
    </row>
    <row r="72" spans="1:10" x14ac:dyDescent="0.35">
      <c r="A72" s="1">
        <v>45085</v>
      </c>
      <c r="B72" t="s">
        <v>10</v>
      </c>
      <c r="C72" t="s">
        <v>11</v>
      </c>
      <c r="D72">
        <v>6019</v>
      </c>
      <c r="E72">
        <v>8274</v>
      </c>
      <c r="F72">
        <v>3494</v>
      </c>
      <c r="G72">
        <v>107</v>
      </c>
      <c r="H72">
        <v>33</v>
      </c>
      <c r="I72">
        <v>83.75</v>
      </c>
      <c r="J72">
        <v>2481</v>
      </c>
    </row>
    <row r="73" spans="1:10" x14ac:dyDescent="0.35">
      <c r="A73" s="1">
        <v>45085</v>
      </c>
      <c r="B73" t="s">
        <v>10</v>
      </c>
      <c r="C73" t="s">
        <v>12</v>
      </c>
      <c r="D73">
        <v>5882</v>
      </c>
      <c r="E73">
        <v>4010</v>
      </c>
      <c r="F73">
        <v>3411</v>
      </c>
      <c r="G73">
        <v>40</v>
      </c>
      <c r="H73">
        <v>131</v>
      </c>
      <c r="I73">
        <v>82.86</v>
      </c>
      <c r="J73">
        <v>2352</v>
      </c>
    </row>
    <row r="74" spans="1:10" x14ac:dyDescent="0.35">
      <c r="A74" s="1">
        <v>45085</v>
      </c>
      <c r="B74" t="s">
        <v>13</v>
      </c>
      <c r="C74" t="s">
        <v>11</v>
      </c>
      <c r="D74">
        <v>7597</v>
      </c>
      <c r="E74">
        <v>8727</v>
      </c>
      <c r="F74">
        <v>3657</v>
      </c>
      <c r="G74">
        <v>144</v>
      </c>
      <c r="H74">
        <v>53</v>
      </c>
      <c r="I74">
        <v>151.81</v>
      </c>
      <c r="J74">
        <v>2075</v>
      </c>
    </row>
    <row r="75" spans="1:10" x14ac:dyDescent="0.35">
      <c r="A75" s="1">
        <v>45085</v>
      </c>
      <c r="B75" t="s">
        <v>13</v>
      </c>
      <c r="C75" t="s">
        <v>12</v>
      </c>
      <c r="D75">
        <v>3914</v>
      </c>
      <c r="E75">
        <v>3301</v>
      </c>
      <c r="F75">
        <v>1661</v>
      </c>
      <c r="G75">
        <v>34</v>
      </c>
      <c r="H75">
        <v>84</v>
      </c>
      <c r="I75">
        <v>129.13</v>
      </c>
      <c r="J75">
        <v>703</v>
      </c>
    </row>
    <row r="76" spans="1:10" x14ac:dyDescent="0.35">
      <c r="A76" s="1">
        <v>45085</v>
      </c>
      <c r="B76" t="s">
        <v>14</v>
      </c>
      <c r="C76" t="s">
        <v>11</v>
      </c>
      <c r="D76">
        <v>9569</v>
      </c>
      <c r="E76">
        <v>9184</v>
      </c>
      <c r="F76">
        <v>4465</v>
      </c>
      <c r="G76">
        <v>153</v>
      </c>
      <c r="H76">
        <v>109</v>
      </c>
      <c r="I76">
        <v>55.81</v>
      </c>
      <c r="J76">
        <v>2885</v>
      </c>
    </row>
    <row r="77" spans="1:10" x14ac:dyDescent="0.35">
      <c r="A77" s="1">
        <v>45085</v>
      </c>
      <c r="B77" t="s">
        <v>14</v>
      </c>
      <c r="C77" t="s">
        <v>12</v>
      </c>
      <c r="D77">
        <v>4898</v>
      </c>
      <c r="E77">
        <v>1898</v>
      </c>
      <c r="F77">
        <v>1873</v>
      </c>
      <c r="G77">
        <v>15</v>
      </c>
      <c r="H77">
        <v>31</v>
      </c>
      <c r="I77">
        <v>22.74</v>
      </c>
      <c r="J77">
        <v>737</v>
      </c>
    </row>
    <row r="78" spans="1:10" x14ac:dyDescent="0.35">
      <c r="A78" s="1">
        <v>45085</v>
      </c>
      <c r="B78" t="s">
        <v>15</v>
      </c>
      <c r="C78" t="s">
        <v>11</v>
      </c>
      <c r="D78">
        <v>5829</v>
      </c>
      <c r="E78">
        <v>1875</v>
      </c>
      <c r="F78">
        <v>2659</v>
      </c>
      <c r="G78">
        <v>24</v>
      </c>
      <c r="H78">
        <v>110</v>
      </c>
      <c r="I78">
        <v>149.69999999999999</v>
      </c>
      <c r="J78">
        <v>1721</v>
      </c>
    </row>
    <row r="79" spans="1:10" x14ac:dyDescent="0.35">
      <c r="A79" s="1">
        <v>45085</v>
      </c>
      <c r="B79" t="s">
        <v>15</v>
      </c>
      <c r="C79" t="s">
        <v>12</v>
      </c>
      <c r="D79">
        <v>2685</v>
      </c>
      <c r="E79">
        <v>1729</v>
      </c>
      <c r="F79">
        <v>1131</v>
      </c>
      <c r="G79">
        <v>26</v>
      </c>
      <c r="H79">
        <v>61</v>
      </c>
      <c r="I79">
        <v>144.47</v>
      </c>
      <c r="J79">
        <v>207</v>
      </c>
    </row>
    <row r="80" spans="1:10" x14ac:dyDescent="0.35">
      <c r="A80" s="1">
        <v>45085</v>
      </c>
      <c r="B80" t="s">
        <v>16</v>
      </c>
      <c r="C80" t="s">
        <v>11</v>
      </c>
      <c r="D80">
        <v>4304</v>
      </c>
      <c r="E80">
        <v>7696</v>
      </c>
      <c r="F80">
        <v>3513</v>
      </c>
      <c r="G80">
        <v>58</v>
      </c>
      <c r="H80">
        <v>118</v>
      </c>
      <c r="I80">
        <v>120.05</v>
      </c>
      <c r="J80">
        <v>1077</v>
      </c>
    </row>
    <row r="81" spans="1:10" x14ac:dyDescent="0.35">
      <c r="A81" s="1">
        <v>45085</v>
      </c>
      <c r="B81" t="s">
        <v>16</v>
      </c>
      <c r="C81" t="s">
        <v>12</v>
      </c>
      <c r="D81">
        <v>5820</v>
      </c>
      <c r="E81">
        <v>3230</v>
      </c>
      <c r="F81">
        <v>2354</v>
      </c>
      <c r="G81">
        <v>50</v>
      </c>
      <c r="H81">
        <v>52</v>
      </c>
      <c r="I81">
        <v>117.64</v>
      </c>
      <c r="J81">
        <v>1251</v>
      </c>
    </row>
    <row r="82" spans="1:10" x14ac:dyDescent="0.35">
      <c r="A82" s="1">
        <v>45086</v>
      </c>
      <c r="B82" t="s">
        <v>10</v>
      </c>
      <c r="C82" t="s">
        <v>11</v>
      </c>
      <c r="D82">
        <v>7457</v>
      </c>
      <c r="E82">
        <v>8504</v>
      </c>
      <c r="F82">
        <v>5016</v>
      </c>
      <c r="G82">
        <v>122</v>
      </c>
      <c r="H82">
        <v>79</v>
      </c>
      <c r="I82">
        <v>90.76</v>
      </c>
      <c r="J82">
        <v>3405</v>
      </c>
    </row>
    <row r="83" spans="1:10" x14ac:dyDescent="0.35">
      <c r="A83" s="1">
        <v>45086</v>
      </c>
      <c r="B83" t="s">
        <v>10</v>
      </c>
      <c r="C83" t="s">
        <v>12</v>
      </c>
      <c r="D83">
        <v>9471</v>
      </c>
      <c r="E83">
        <v>6506</v>
      </c>
      <c r="F83">
        <v>3435</v>
      </c>
      <c r="G83">
        <v>59</v>
      </c>
      <c r="H83">
        <v>126</v>
      </c>
      <c r="I83">
        <v>36.270000000000003</v>
      </c>
      <c r="J83">
        <v>1927</v>
      </c>
    </row>
    <row r="84" spans="1:10" x14ac:dyDescent="0.35">
      <c r="A84" s="1">
        <v>45086</v>
      </c>
      <c r="B84" t="s">
        <v>13</v>
      </c>
      <c r="C84" t="s">
        <v>11</v>
      </c>
      <c r="D84">
        <v>7410</v>
      </c>
      <c r="E84">
        <v>4898</v>
      </c>
      <c r="F84">
        <v>3774</v>
      </c>
      <c r="G84">
        <v>47</v>
      </c>
      <c r="H84">
        <v>46</v>
      </c>
      <c r="I84">
        <v>162.97</v>
      </c>
      <c r="J84">
        <v>1438</v>
      </c>
    </row>
    <row r="85" spans="1:10" x14ac:dyDescent="0.35">
      <c r="A85" s="1">
        <v>45086</v>
      </c>
      <c r="B85" t="s">
        <v>13</v>
      </c>
      <c r="C85" t="s">
        <v>12</v>
      </c>
      <c r="D85">
        <v>3306</v>
      </c>
      <c r="E85">
        <v>2020</v>
      </c>
      <c r="F85">
        <v>1589</v>
      </c>
      <c r="G85">
        <v>33</v>
      </c>
      <c r="H85">
        <v>76</v>
      </c>
      <c r="I85">
        <v>72.36</v>
      </c>
      <c r="J85">
        <v>637</v>
      </c>
    </row>
    <row r="86" spans="1:10" x14ac:dyDescent="0.35">
      <c r="A86" s="1">
        <v>45086</v>
      </c>
      <c r="B86" t="s">
        <v>14</v>
      </c>
      <c r="C86" t="s">
        <v>11</v>
      </c>
      <c r="D86">
        <v>7006</v>
      </c>
      <c r="E86">
        <v>2128</v>
      </c>
      <c r="F86">
        <v>3070</v>
      </c>
      <c r="G86">
        <v>14</v>
      </c>
      <c r="H86">
        <v>106</v>
      </c>
      <c r="I86">
        <v>69.47</v>
      </c>
      <c r="J86">
        <v>1206</v>
      </c>
    </row>
    <row r="87" spans="1:10" x14ac:dyDescent="0.35">
      <c r="A87" s="1">
        <v>45086</v>
      </c>
      <c r="B87" t="s">
        <v>14</v>
      </c>
      <c r="C87" t="s">
        <v>12</v>
      </c>
      <c r="D87">
        <v>4896</v>
      </c>
      <c r="E87">
        <v>1500</v>
      </c>
      <c r="F87">
        <v>2479</v>
      </c>
      <c r="G87">
        <v>16</v>
      </c>
      <c r="H87">
        <v>59</v>
      </c>
      <c r="I87">
        <v>25.08</v>
      </c>
      <c r="J87">
        <v>1314</v>
      </c>
    </row>
    <row r="88" spans="1:10" x14ac:dyDescent="0.35">
      <c r="A88" s="1">
        <v>45086</v>
      </c>
      <c r="B88" t="s">
        <v>15</v>
      </c>
      <c r="C88" t="s">
        <v>11</v>
      </c>
      <c r="D88">
        <v>5501</v>
      </c>
      <c r="E88">
        <v>4759</v>
      </c>
      <c r="F88">
        <v>2636</v>
      </c>
      <c r="G88">
        <v>28</v>
      </c>
      <c r="H88">
        <v>93</v>
      </c>
      <c r="I88">
        <v>94.95</v>
      </c>
      <c r="J88">
        <v>1961</v>
      </c>
    </row>
    <row r="89" spans="1:10" x14ac:dyDescent="0.35">
      <c r="A89" s="1">
        <v>45086</v>
      </c>
      <c r="B89" t="s">
        <v>15</v>
      </c>
      <c r="C89" t="s">
        <v>12</v>
      </c>
      <c r="D89">
        <v>3552</v>
      </c>
      <c r="E89">
        <v>2796</v>
      </c>
      <c r="F89">
        <v>1833</v>
      </c>
      <c r="G89">
        <v>31</v>
      </c>
      <c r="H89">
        <v>94</v>
      </c>
      <c r="I89">
        <v>132.69999999999999</v>
      </c>
      <c r="J89">
        <v>601</v>
      </c>
    </row>
    <row r="90" spans="1:10" x14ac:dyDescent="0.35">
      <c r="A90" s="1">
        <v>45086</v>
      </c>
      <c r="B90" t="s">
        <v>16</v>
      </c>
      <c r="C90" t="s">
        <v>11</v>
      </c>
      <c r="D90">
        <v>3988</v>
      </c>
      <c r="E90">
        <v>3381</v>
      </c>
      <c r="F90">
        <v>1233</v>
      </c>
      <c r="G90">
        <v>46</v>
      </c>
      <c r="H90">
        <v>30</v>
      </c>
      <c r="I90">
        <v>55.01</v>
      </c>
      <c r="J90">
        <v>851</v>
      </c>
    </row>
    <row r="91" spans="1:10" x14ac:dyDescent="0.35">
      <c r="A91" s="1">
        <v>45086</v>
      </c>
      <c r="B91" t="s">
        <v>16</v>
      </c>
      <c r="C91" t="s">
        <v>12</v>
      </c>
      <c r="D91">
        <v>5261</v>
      </c>
      <c r="E91">
        <v>4056</v>
      </c>
      <c r="F91">
        <v>2468</v>
      </c>
      <c r="G91">
        <v>29</v>
      </c>
      <c r="H91">
        <v>90</v>
      </c>
      <c r="I91">
        <v>34.76</v>
      </c>
      <c r="J91">
        <v>1674</v>
      </c>
    </row>
    <row r="92" spans="1:10" x14ac:dyDescent="0.35">
      <c r="A92" s="1">
        <v>45087</v>
      </c>
      <c r="B92" t="s">
        <v>10</v>
      </c>
      <c r="C92" t="s">
        <v>11</v>
      </c>
      <c r="D92">
        <v>5159</v>
      </c>
      <c r="E92">
        <v>4946</v>
      </c>
      <c r="F92">
        <v>4130</v>
      </c>
      <c r="G92">
        <v>52</v>
      </c>
      <c r="H92">
        <v>59</v>
      </c>
      <c r="I92">
        <v>103.62</v>
      </c>
      <c r="J92">
        <v>2445</v>
      </c>
    </row>
    <row r="93" spans="1:10" x14ac:dyDescent="0.35">
      <c r="A93" s="1">
        <v>45087</v>
      </c>
      <c r="B93" t="s">
        <v>10</v>
      </c>
      <c r="C93" t="s">
        <v>12</v>
      </c>
      <c r="D93">
        <v>6621</v>
      </c>
      <c r="E93">
        <v>7456</v>
      </c>
      <c r="F93">
        <v>5454</v>
      </c>
      <c r="G93">
        <v>88</v>
      </c>
      <c r="H93">
        <v>33</v>
      </c>
      <c r="I93">
        <v>121.58</v>
      </c>
      <c r="J93">
        <v>2566</v>
      </c>
    </row>
    <row r="94" spans="1:10" x14ac:dyDescent="0.35">
      <c r="A94" s="1">
        <v>45087</v>
      </c>
      <c r="B94" t="s">
        <v>13</v>
      </c>
      <c r="C94" t="s">
        <v>11</v>
      </c>
      <c r="D94">
        <v>4057</v>
      </c>
      <c r="E94">
        <v>1687</v>
      </c>
      <c r="F94">
        <v>1619</v>
      </c>
      <c r="G94">
        <v>18</v>
      </c>
      <c r="H94">
        <v>83</v>
      </c>
      <c r="I94">
        <v>40.22</v>
      </c>
      <c r="J94">
        <v>1166</v>
      </c>
    </row>
    <row r="95" spans="1:10" x14ac:dyDescent="0.35">
      <c r="A95" s="1">
        <v>45087</v>
      </c>
      <c r="B95" t="s">
        <v>13</v>
      </c>
      <c r="C95" t="s">
        <v>12</v>
      </c>
      <c r="D95">
        <v>4249</v>
      </c>
      <c r="E95">
        <v>2512</v>
      </c>
      <c r="F95">
        <v>1387</v>
      </c>
      <c r="G95">
        <v>37</v>
      </c>
      <c r="H95">
        <v>84</v>
      </c>
      <c r="I95">
        <v>28.24</v>
      </c>
      <c r="J95">
        <v>919</v>
      </c>
    </row>
    <row r="96" spans="1:10" x14ac:dyDescent="0.35">
      <c r="A96" s="1">
        <v>45087</v>
      </c>
      <c r="B96" t="s">
        <v>14</v>
      </c>
      <c r="C96" t="s">
        <v>11</v>
      </c>
      <c r="D96">
        <v>8060</v>
      </c>
      <c r="E96">
        <v>2040</v>
      </c>
      <c r="F96">
        <v>4830</v>
      </c>
      <c r="G96">
        <v>27</v>
      </c>
      <c r="H96">
        <v>104</v>
      </c>
      <c r="I96">
        <v>157.81</v>
      </c>
      <c r="J96">
        <v>3397</v>
      </c>
    </row>
    <row r="97" spans="1:10" x14ac:dyDescent="0.35">
      <c r="A97" s="1">
        <v>45087</v>
      </c>
      <c r="B97" t="s">
        <v>14</v>
      </c>
      <c r="C97" t="s">
        <v>12</v>
      </c>
      <c r="D97">
        <v>5535</v>
      </c>
      <c r="E97">
        <v>5214</v>
      </c>
      <c r="F97">
        <v>2861</v>
      </c>
      <c r="G97">
        <v>56</v>
      </c>
      <c r="H97">
        <v>121</v>
      </c>
      <c r="I97">
        <v>109.32</v>
      </c>
      <c r="J97">
        <v>1915</v>
      </c>
    </row>
    <row r="98" spans="1:10" x14ac:dyDescent="0.35">
      <c r="A98" s="1">
        <v>45087</v>
      </c>
      <c r="B98" t="s">
        <v>15</v>
      </c>
      <c r="C98" t="s">
        <v>11</v>
      </c>
      <c r="D98">
        <v>5624</v>
      </c>
      <c r="E98">
        <v>4745</v>
      </c>
      <c r="F98">
        <v>3320</v>
      </c>
      <c r="G98">
        <v>35</v>
      </c>
      <c r="H98">
        <v>71</v>
      </c>
      <c r="I98">
        <v>55</v>
      </c>
      <c r="J98">
        <v>2058</v>
      </c>
    </row>
    <row r="99" spans="1:10" x14ac:dyDescent="0.35">
      <c r="A99" s="1">
        <v>45087</v>
      </c>
      <c r="B99" t="s">
        <v>15</v>
      </c>
      <c r="C99" t="s">
        <v>12</v>
      </c>
      <c r="D99">
        <v>3569</v>
      </c>
      <c r="E99">
        <v>2674</v>
      </c>
      <c r="F99">
        <v>1164</v>
      </c>
      <c r="G99">
        <v>37</v>
      </c>
      <c r="H99">
        <v>86</v>
      </c>
      <c r="I99">
        <v>102.88</v>
      </c>
      <c r="J99">
        <v>614</v>
      </c>
    </row>
    <row r="100" spans="1:10" x14ac:dyDescent="0.35">
      <c r="A100" s="1">
        <v>45087</v>
      </c>
      <c r="B100" t="s">
        <v>16</v>
      </c>
      <c r="C100" t="s">
        <v>11</v>
      </c>
      <c r="D100">
        <v>5246</v>
      </c>
      <c r="E100">
        <v>2653</v>
      </c>
      <c r="F100">
        <v>2437</v>
      </c>
      <c r="G100">
        <v>27</v>
      </c>
      <c r="H100">
        <v>32</v>
      </c>
      <c r="I100">
        <v>148.63</v>
      </c>
      <c r="J100">
        <v>1333</v>
      </c>
    </row>
    <row r="101" spans="1:10" x14ac:dyDescent="0.35">
      <c r="A101" s="1">
        <v>45087</v>
      </c>
      <c r="B101" t="s">
        <v>16</v>
      </c>
      <c r="C101" t="s">
        <v>12</v>
      </c>
      <c r="D101">
        <v>5405</v>
      </c>
      <c r="E101">
        <v>1837</v>
      </c>
      <c r="F101">
        <v>1811</v>
      </c>
      <c r="G101">
        <v>9</v>
      </c>
      <c r="H101">
        <v>77</v>
      </c>
      <c r="I101">
        <v>32.61</v>
      </c>
      <c r="J101">
        <v>929</v>
      </c>
    </row>
    <row r="102" spans="1:10" x14ac:dyDescent="0.35">
      <c r="A102" s="1">
        <v>45088</v>
      </c>
      <c r="B102" t="s">
        <v>10</v>
      </c>
      <c r="C102" t="s">
        <v>11</v>
      </c>
      <c r="D102">
        <v>5944</v>
      </c>
      <c r="E102">
        <v>4981</v>
      </c>
      <c r="F102">
        <v>2005</v>
      </c>
      <c r="G102">
        <v>81</v>
      </c>
      <c r="H102">
        <v>32</v>
      </c>
      <c r="I102">
        <v>77.569999999999993</v>
      </c>
      <c r="J102">
        <v>1261</v>
      </c>
    </row>
    <row r="103" spans="1:10" x14ac:dyDescent="0.35">
      <c r="A103" s="1">
        <v>45088</v>
      </c>
      <c r="B103" t="s">
        <v>10</v>
      </c>
      <c r="C103" t="s">
        <v>12</v>
      </c>
      <c r="D103">
        <v>4536</v>
      </c>
      <c r="E103">
        <v>3509</v>
      </c>
      <c r="F103">
        <v>2506</v>
      </c>
      <c r="G103">
        <v>41</v>
      </c>
      <c r="H103">
        <v>44</v>
      </c>
      <c r="I103">
        <v>146.91999999999999</v>
      </c>
      <c r="J103">
        <v>909</v>
      </c>
    </row>
    <row r="104" spans="1:10" x14ac:dyDescent="0.35">
      <c r="A104" s="1">
        <v>45088</v>
      </c>
      <c r="B104" t="s">
        <v>13</v>
      </c>
      <c r="C104" t="s">
        <v>11</v>
      </c>
      <c r="D104">
        <v>8704</v>
      </c>
      <c r="E104">
        <v>3118</v>
      </c>
      <c r="F104">
        <v>4348</v>
      </c>
      <c r="G104">
        <v>45</v>
      </c>
      <c r="H104">
        <v>40</v>
      </c>
      <c r="I104">
        <v>112.07</v>
      </c>
      <c r="J104">
        <v>2328</v>
      </c>
    </row>
    <row r="105" spans="1:10" x14ac:dyDescent="0.35">
      <c r="A105" s="1">
        <v>45088</v>
      </c>
      <c r="B105" t="s">
        <v>13</v>
      </c>
      <c r="C105" t="s">
        <v>12</v>
      </c>
      <c r="D105">
        <v>6256</v>
      </c>
      <c r="E105">
        <v>5180</v>
      </c>
      <c r="F105">
        <v>2584</v>
      </c>
      <c r="G105">
        <v>52</v>
      </c>
      <c r="H105">
        <v>49</v>
      </c>
      <c r="I105">
        <v>87.39</v>
      </c>
      <c r="J105">
        <v>1313</v>
      </c>
    </row>
    <row r="106" spans="1:10" x14ac:dyDescent="0.35">
      <c r="A106" s="1">
        <v>45088</v>
      </c>
      <c r="B106" t="s">
        <v>14</v>
      </c>
      <c r="C106" t="s">
        <v>11</v>
      </c>
      <c r="D106">
        <v>8510</v>
      </c>
      <c r="E106">
        <v>3465</v>
      </c>
      <c r="F106">
        <v>3533</v>
      </c>
      <c r="G106">
        <v>54</v>
      </c>
      <c r="H106">
        <v>83</v>
      </c>
      <c r="I106">
        <v>34.29</v>
      </c>
      <c r="J106">
        <v>1924</v>
      </c>
    </row>
    <row r="107" spans="1:10" x14ac:dyDescent="0.35">
      <c r="A107" s="1">
        <v>45088</v>
      </c>
      <c r="B107" t="s">
        <v>14</v>
      </c>
      <c r="C107" t="s">
        <v>12</v>
      </c>
      <c r="D107">
        <v>4306</v>
      </c>
      <c r="E107">
        <v>2065</v>
      </c>
      <c r="F107">
        <v>2188</v>
      </c>
      <c r="G107">
        <v>28</v>
      </c>
      <c r="H107">
        <v>31</v>
      </c>
      <c r="I107">
        <v>103.02</v>
      </c>
      <c r="J107">
        <v>820</v>
      </c>
    </row>
    <row r="108" spans="1:10" x14ac:dyDescent="0.35">
      <c r="A108" s="1">
        <v>45088</v>
      </c>
      <c r="B108" t="s">
        <v>15</v>
      </c>
      <c r="C108" t="s">
        <v>11</v>
      </c>
      <c r="D108">
        <v>4334</v>
      </c>
      <c r="E108">
        <v>2829</v>
      </c>
      <c r="F108">
        <v>2278</v>
      </c>
      <c r="G108">
        <v>47</v>
      </c>
      <c r="H108">
        <v>116</v>
      </c>
      <c r="I108">
        <v>20.53</v>
      </c>
      <c r="J108">
        <v>1408</v>
      </c>
    </row>
    <row r="109" spans="1:10" x14ac:dyDescent="0.35">
      <c r="A109" s="1">
        <v>45088</v>
      </c>
      <c r="B109" t="s">
        <v>15</v>
      </c>
      <c r="C109" t="s">
        <v>12</v>
      </c>
      <c r="D109">
        <v>1529</v>
      </c>
      <c r="E109">
        <v>1153</v>
      </c>
      <c r="F109">
        <v>805</v>
      </c>
      <c r="G109">
        <v>12</v>
      </c>
      <c r="H109">
        <v>410</v>
      </c>
      <c r="I109">
        <v>154.66</v>
      </c>
      <c r="J109">
        <v>279</v>
      </c>
    </row>
    <row r="110" spans="1:10" x14ac:dyDescent="0.35">
      <c r="A110" s="1">
        <v>45088</v>
      </c>
      <c r="B110" t="s">
        <v>16</v>
      </c>
      <c r="C110" t="s">
        <v>11</v>
      </c>
      <c r="D110">
        <v>6815</v>
      </c>
      <c r="E110">
        <v>4599</v>
      </c>
      <c r="F110">
        <v>3148</v>
      </c>
      <c r="G110">
        <v>50</v>
      </c>
      <c r="H110">
        <v>33</v>
      </c>
      <c r="I110">
        <v>133.81</v>
      </c>
      <c r="J110">
        <v>1633</v>
      </c>
    </row>
    <row r="111" spans="1:10" x14ac:dyDescent="0.35">
      <c r="A111" s="1">
        <v>45088</v>
      </c>
      <c r="B111" t="s">
        <v>16</v>
      </c>
      <c r="C111" t="s">
        <v>12</v>
      </c>
      <c r="D111">
        <v>2038</v>
      </c>
      <c r="E111">
        <v>1367</v>
      </c>
      <c r="F111">
        <v>1049</v>
      </c>
      <c r="G111">
        <v>16</v>
      </c>
      <c r="H111">
        <v>141</v>
      </c>
      <c r="I111">
        <v>164.89</v>
      </c>
      <c r="J111">
        <v>597</v>
      </c>
    </row>
    <row r="112" spans="1:10" x14ac:dyDescent="0.35">
      <c r="A112" s="1">
        <v>45089</v>
      </c>
      <c r="B112" t="s">
        <v>10</v>
      </c>
      <c r="C112" t="s">
        <v>11</v>
      </c>
      <c r="D112">
        <v>14210</v>
      </c>
      <c r="E112">
        <v>5736</v>
      </c>
      <c r="F112">
        <v>5490</v>
      </c>
      <c r="G112">
        <v>57</v>
      </c>
      <c r="H112">
        <v>37</v>
      </c>
      <c r="I112">
        <v>98.47</v>
      </c>
      <c r="J112">
        <v>3166</v>
      </c>
    </row>
    <row r="113" spans="1:10" x14ac:dyDescent="0.35">
      <c r="A113" s="1">
        <v>45089</v>
      </c>
      <c r="B113" t="s">
        <v>10</v>
      </c>
      <c r="C113" t="s">
        <v>12</v>
      </c>
      <c r="D113">
        <v>3590</v>
      </c>
      <c r="E113">
        <v>1523</v>
      </c>
      <c r="F113">
        <v>1716</v>
      </c>
      <c r="G113">
        <v>20</v>
      </c>
      <c r="H113">
        <v>139</v>
      </c>
      <c r="I113">
        <v>167.21</v>
      </c>
      <c r="J113">
        <v>594</v>
      </c>
    </row>
    <row r="114" spans="1:10" x14ac:dyDescent="0.35">
      <c r="A114" s="1">
        <v>45089</v>
      </c>
      <c r="B114" t="s">
        <v>13</v>
      </c>
      <c r="C114" t="s">
        <v>11</v>
      </c>
      <c r="D114">
        <v>6575</v>
      </c>
      <c r="E114">
        <v>4661</v>
      </c>
      <c r="F114">
        <v>2711</v>
      </c>
      <c r="G114">
        <v>65</v>
      </c>
      <c r="H114">
        <v>35</v>
      </c>
      <c r="I114">
        <v>153.66999999999999</v>
      </c>
      <c r="J114">
        <v>897</v>
      </c>
    </row>
    <row r="115" spans="1:10" x14ac:dyDescent="0.35">
      <c r="A115" s="1">
        <v>45089</v>
      </c>
      <c r="B115" t="s">
        <v>13</v>
      </c>
      <c r="C115" t="s">
        <v>12</v>
      </c>
      <c r="D115">
        <v>7487</v>
      </c>
      <c r="E115">
        <v>2459</v>
      </c>
      <c r="F115">
        <v>2618</v>
      </c>
      <c r="G115">
        <v>19</v>
      </c>
      <c r="H115">
        <v>80</v>
      </c>
      <c r="I115">
        <v>158.53</v>
      </c>
      <c r="J115">
        <v>1005</v>
      </c>
    </row>
    <row r="116" spans="1:10" x14ac:dyDescent="0.35">
      <c r="A116" s="1">
        <v>45089</v>
      </c>
      <c r="B116" t="s">
        <v>14</v>
      </c>
      <c r="C116" t="s">
        <v>11</v>
      </c>
      <c r="D116">
        <v>5797</v>
      </c>
      <c r="E116">
        <v>2340</v>
      </c>
      <c r="F116">
        <v>2399</v>
      </c>
      <c r="G116">
        <v>28</v>
      </c>
      <c r="H116">
        <v>44</v>
      </c>
      <c r="I116">
        <v>15.76</v>
      </c>
      <c r="J116">
        <v>1523</v>
      </c>
    </row>
    <row r="117" spans="1:10" x14ac:dyDescent="0.35">
      <c r="A117" s="1">
        <v>45089</v>
      </c>
      <c r="B117" t="s">
        <v>14</v>
      </c>
      <c r="C117" t="s">
        <v>12</v>
      </c>
      <c r="D117">
        <v>7290</v>
      </c>
      <c r="E117">
        <v>2349</v>
      </c>
      <c r="F117">
        <v>4075</v>
      </c>
      <c r="G117">
        <v>23</v>
      </c>
      <c r="H117">
        <v>36</v>
      </c>
      <c r="I117">
        <v>89.62</v>
      </c>
      <c r="J117">
        <v>2915</v>
      </c>
    </row>
    <row r="118" spans="1:10" x14ac:dyDescent="0.35">
      <c r="A118" s="1">
        <v>45089</v>
      </c>
      <c r="B118" t="s">
        <v>15</v>
      </c>
      <c r="C118" t="s">
        <v>11</v>
      </c>
      <c r="D118">
        <v>5468</v>
      </c>
      <c r="E118">
        <v>1441</v>
      </c>
      <c r="F118">
        <v>2048</v>
      </c>
      <c r="G118">
        <v>23</v>
      </c>
      <c r="H118">
        <v>133</v>
      </c>
      <c r="I118">
        <v>66.39</v>
      </c>
      <c r="J118">
        <v>1146</v>
      </c>
    </row>
    <row r="119" spans="1:10" x14ac:dyDescent="0.35">
      <c r="A119" s="1">
        <v>45089</v>
      </c>
      <c r="B119" t="s">
        <v>15</v>
      </c>
      <c r="C119" t="s">
        <v>12</v>
      </c>
      <c r="D119">
        <v>1876</v>
      </c>
      <c r="E119">
        <v>1234</v>
      </c>
      <c r="F119">
        <v>570</v>
      </c>
      <c r="G119">
        <v>15</v>
      </c>
      <c r="H119">
        <v>472</v>
      </c>
      <c r="I119">
        <v>90.73</v>
      </c>
      <c r="J119">
        <v>341</v>
      </c>
    </row>
    <row r="120" spans="1:10" x14ac:dyDescent="0.35">
      <c r="A120" s="1">
        <v>45089</v>
      </c>
      <c r="B120" t="s">
        <v>16</v>
      </c>
      <c r="C120" t="s">
        <v>11</v>
      </c>
      <c r="D120">
        <v>5546</v>
      </c>
      <c r="E120">
        <v>2987</v>
      </c>
      <c r="F120">
        <v>3322</v>
      </c>
      <c r="G120">
        <v>18</v>
      </c>
      <c r="H120">
        <v>144</v>
      </c>
      <c r="I120">
        <v>80.56</v>
      </c>
      <c r="J120">
        <v>1747</v>
      </c>
    </row>
    <row r="121" spans="1:10" x14ac:dyDescent="0.35">
      <c r="A121" s="1">
        <v>45089</v>
      </c>
      <c r="B121" t="s">
        <v>16</v>
      </c>
      <c r="C121" t="s">
        <v>12</v>
      </c>
      <c r="D121">
        <v>2993</v>
      </c>
      <c r="E121">
        <v>1170</v>
      </c>
      <c r="F121">
        <v>1082</v>
      </c>
      <c r="G121">
        <v>18</v>
      </c>
      <c r="H121">
        <v>548</v>
      </c>
      <c r="I121">
        <v>153.03</v>
      </c>
      <c r="J121">
        <v>417</v>
      </c>
    </row>
    <row r="122" spans="1:10" x14ac:dyDescent="0.35">
      <c r="A122" s="1">
        <v>45090</v>
      </c>
      <c r="B122" t="s">
        <v>10</v>
      </c>
      <c r="C122" t="s">
        <v>11</v>
      </c>
      <c r="D122">
        <v>5967</v>
      </c>
      <c r="E122">
        <v>3150</v>
      </c>
      <c r="F122">
        <v>4782</v>
      </c>
      <c r="G122">
        <v>44</v>
      </c>
      <c r="H122">
        <v>38</v>
      </c>
      <c r="I122">
        <v>97.01</v>
      </c>
      <c r="J122">
        <v>2563</v>
      </c>
    </row>
    <row r="123" spans="1:10" x14ac:dyDescent="0.35">
      <c r="A123" s="1">
        <v>45090</v>
      </c>
      <c r="B123" t="s">
        <v>10</v>
      </c>
      <c r="C123" t="s">
        <v>12</v>
      </c>
      <c r="D123">
        <v>8483</v>
      </c>
      <c r="E123">
        <v>2984</v>
      </c>
      <c r="F123">
        <v>4738</v>
      </c>
      <c r="G123">
        <v>21</v>
      </c>
      <c r="H123">
        <v>56</v>
      </c>
      <c r="I123">
        <v>101.89</v>
      </c>
      <c r="J123">
        <v>3438</v>
      </c>
    </row>
    <row r="124" spans="1:10" x14ac:dyDescent="0.35">
      <c r="A124" s="1">
        <v>45090</v>
      </c>
      <c r="B124" t="s">
        <v>13</v>
      </c>
      <c r="C124" t="s">
        <v>11</v>
      </c>
      <c r="D124">
        <v>5354</v>
      </c>
      <c r="E124">
        <v>2674</v>
      </c>
      <c r="F124">
        <v>5330</v>
      </c>
      <c r="G124">
        <v>18</v>
      </c>
      <c r="H124">
        <v>42</v>
      </c>
      <c r="I124">
        <v>56.89</v>
      </c>
      <c r="J124">
        <v>3179</v>
      </c>
    </row>
    <row r="125" spans="1:10" x14ac:dyDescent="0.35">
      <c r="A125" s="1">
        <v>45090</v>
      </c>
      <c r="B125" t="s">
        <v>13</v>
      </c>
      <c r="C125" t="s">
        <v>12</v>
      </c>
      <c r="D125">
        <v>7718</v>
      </c>
      <c r="E125">
        <v>5585</v>
      </c>
      <c r="F125">
        <v>2556</v>
      </c>
      <c r="G125">
        <v>29</v>
      </c>
      <c r="H125">
        <v>78</v>
      </c>
      <c r="I125">
        <v>106.86</v>
      </c>
      <c r="J125">
        <v>1687</v>
      </c>
    </row>
    <row r="126" spans="1:10" x14ac:dyDescent="0.35">
      <c r="A126" s="1">
        <v>45090</v>
      </c>
      <c r="B126" t="s">
        <v>14</v>
      </c>
      <c r="C126" t="s">
        <v>11</v>
      </c>
      <c r="D126">
        <v>7145</v>
      </c>
      <c r="E126">
        <v>3473</v>
      </c>
      <c r="F126">
        <v>5758</v>
      </c>
      <c r="G126">
        <v>27</v>
      </c>
      <c r="H126">
        <v>32</v>
      </c>
      <c r="I126">
        <v>38.28</v>
      </c>
      <c r="J126">
        <v>3945</v>
      </c>
    </row>
    <row r="127" spans="1:10" x14ac:dyDescent="0.35">
      <c r="A127" s="1">
        <v>45090</v>
      </c>
      <c r="B127" t="s">
        <v>14</v>
      </c>
      <c r="C127" t="s">
        <v>12</v>
      </c>
      <c r="D127">
        <v>4002</v>
      </c>
      <c r="E127">
        <v>1805</v>
      </c>
      <c r="F127">
        <v>1216</v>
      </c>
      <c r="G127">
        <v>28</v>
      </c>
      <c r="H127">
        <v>543</v>
      </c>
      <c r="I127">
        <v>35.26</v>
      </c>
      <c r="J127">
        <v>412</v>
      </c>
    </row>
    <row r="128" spans="1:10" x14ac:dyDescent="0.35">
      <c r="A128" s="1">
        <v>45090</v>
      </c>
      <c r="B128" t="s">
        <v>15</v>
      </c>
      <c r="C128" t="s">
        <v>11</v>
      </c>
      <c r="D128">
        <v>4232</v>
      </c>
      <c r="E128">
        <v>2792</v>
      </c>
      <c r="F128">
        <v>2403</v>
      </c>
      <c r="G128">
        <v>28</v>
      </c>
      <c r="H128">
        <v>100</v>
      </c>
      <c r="I128">
        <v>151.13999999999999</v>
      </c>
      <c r="J128">
        <v>1605</v>
      </c>
    </row>
    <row r="129" spans="1:10" x14ac:dyDescent="0.35">
      <c r="A129" s="1">
        <v>45090</v>
      </c>
      <c r="B129" t="s">
        <v>15</v>
      </c>
      <c r="C129" t="s">
        <v>12</v>
      </c>
      <c r="D129">
        <v>3599</v>
      </c>
      <c r="E129">
        <v>2393</v>
      </c>
      <c r="F129">
        <v>1753</v>
      </c>
      <c r="G129">
        <v>19</v>
      </c>
      <c r="H129">
        <v>65</v>
      </c>
      <c r="I129">
        <v>157.08000000000001</v>
      </c>
      <c r="J129">
        <v>849</v>
      </c>
    </row>
    <row r="130" spans="1:10" x14ac:dyDescent="0.35">
      <c r="A130" s="1">
        <v>45090</v>
      </c>
      <c r="B130" t="s">
        <v>16</v>
      </c>
      <c r="C130" t="s">
        <v>11</v>
      </c>
      <c r="D130">
        <v>6592</v>
      </c>
      <c r="E130">
        <v>6083</v>
      </c>
      <c r="F130">
        <v>2254</v>
      </c>
      <c r="G130">
        <v>85</v>
      </c>
      <c r="H130">
        <v>38</v>
      </c>
      <c r="I130">
        <v>146.97999999999999</v>
      </c>
      <c r="J130">
        <v>1557</v>
      </c>
    </row>
    <row r="131" spans="1:10" x14ac:dyDescent="0.35">
      <c r="A131" s="1">
        <v>45090</v>
      </c>
      <c r="B131" t="s">
        <v>16</v>
      </c>
      <c r="C131" t="s">
        <v>12</v>
      </c>
      <c r="D131">
        <v>3107</v>
      </c>
      <c r="E131">
        <v>1830</v>
      </c>
      <c r="F131">
        <v>1624</v>
      </c>
      <c r="G131">
        <v>20</v>
      </c>
      <c r="H131">
        <v>120</v>
      </c>
      <c r="I131">
        <v>37.99</v>
      </c>
      <c r="J131">
        <v>998</v>
      </c>
    </row>
    <row r="132" spans="1:10" x14ac:dyDescent="0.35">
      <c r="A132" s="1">
        <v>45091</v>
      </c>
      <c r="B132" t="s">
        <v>10</v>
      </c>
      <c r="C132" t="s">
        <v>11</v>
      </c>
      <c r="D132">
        <v>6787</v>
      </c>
      <c r="E132">
        <v>6439</v>
      </c>
      <c r="F132">
        <v>2386</v>
      </c>
      <c r="G132">
        <v>72</v>
      </c>
      <c r="H132">
        <v>128</v>
      </c>
      <c r="I132">
        <v>102.39</v>
      </c>
      <c r="J132">
        <v>1008</v>
      </c>
    </row>
    <row r="133" spans="1:10" x14ac:dyDescent="0.35">
      <c r="A133" s="1">
        <v>45091</v>
      </c>
      <c r="B133" t="s">
        <v>10</v>
      </c>
      <c r="C133" t="s">
        <v>12</v>
      </c>
      <c r="D133">
        <v>9169</v>
      </c>
      <c r="E133">
        <v>6006</v>
      </c>
      <c r="F133">
        <v>4275</v>
      </c>
      <c r="G133">
        <v>49</v>
      </c>
      <c r="H133">
        <v>112</v>
      </c>
      <c r="I133">
        <v>32.590000000000003</v>
      </c>
      <c r="J133">
        <v>2535</v>
      </c>
    </row>
    <row r="134" spans="1:10" x14ac:dyDescent="0.35">
      <c r="A134" s="1">
        <v>45091</v>
      </c>
      <c r="B134" t="s">
        <v>13</v>
      </c>
      <c r="C134" t="s">
        <v>11</v>
      </c>
      <c r="D134">
        <v>3205</v>
      </c>
      <c r="E134">
        <v>1084</v>
      </c>
      <c r="F134">
        <v>1801</v>
      </c>
      <c r="G134">
        <v>17</v>
      </c>
      <c r="H134">
        <v>49</v>
      </c>
      <c r="I134">
        <v>43.94</v>
      </c>
      <c r="J134">
        <v>1025</v>
      </c>
    </row>
    <row r="135" spans="1:10" x14ac:dyDescent="0.35">
      <c r="A135" s="1">
        <v>45091</v>
      </c>
      <c r="B135" t="s">
        <v>13</v>
      </c>
      <c r="C135" t="s">
        <v>12</v>
      </c>
      <c r="D135">
        <v>5960</v>
      </c>
      <c r="E135">
        <v>5027</v>
      </c>
      <c r="F135">
        <v>3166</v>
      </c>
      <c r="G135">
        <v>49</v>
      </c>
      <c r="H135">
        <v>33</v>
      </c>
      <c r="I135">
        <v>136.78</v>
      </c>
      <c r="J135">
        <v>1551</v>
      </c>
    </row>
    <row r="136" spans="1:10" x14ac:dyDescent="0.35">
      <c r="A136" s="1">
        <v>45091</v>
      </c>
      <c r="B136" t="s">
        <v>14</v>
      </c>
      <c r="C136" t="s">
        <v>11</v>
      </c>
      <c r="D136">
        <v>4720</v>
      </c>
      <c r="E136">
        <v>1439</v>
      </c>
      <c r="F136">
        <v>1512</v>
      </c>
      <c r="G136">
        <v>20</v>
      </c>
      <c r="H136">
        <v>32</v>
      </c>
      <c r="I136">
        <v>133.63999999999999</v>
      </c>
      <c r="J136">
        <v>1023</v>
      </c>
    </row>
    <row r="137" spans="1:10" x14ac:dyDescent="0.35">
      <c r="A137" s="1">
        <v>45091</v>
      </c>
      <c r="B137" t="s">
        <v>14</v>
      </c>
      <c r="C137" t="s">
        <v>12</v>
      </c>
      <c r="D137">
        <v>6418</v>
      </c>
      <c r="E137">
        <v>4361</v>
      </c>
      <c r="F137">
        <v>2689</v>
      </c>
      <c r="G137">
        <v>70</v>
      </c>
      <c r="H137">
        <v>33</v>
      </c>
      <c r="I137">
        <v>50.47</v>
      </c>
      <c r="J137">
        <v>1961</v>
      </c>
    </row>
    <row r="138" spans="1:10" x14ac:dyDescent="0.35">
      <c r="A138" s="1">
        <v>45091</v>
      </c>
      <c r="B138" t="s">
        <v>15</v>
      </c>
      <c r="C138" t="s">
        <v>11</v>
      </c>
      <c r="D138">
        <v>3815</v>
      </c>
      <c r="E138">
        <v>2398</v>
      </c>
      <c r="F138">
        <v>2107</v>
      </c>
      <c r="G138">
        <v>17</v>
      </c>
      <c r="H138">
        <v>90</v>
      </c>
      <c r="I138">
        <v>142.19999999999999</v>
      </c>
      <c r="J138">
        <v>1435</v>
      </c>
    </row>
    <row r="139" spans="1:10" x14ac:dyDescent="0.35">
      <c r="A139" s="1">
        <v>45091</v>
      </c>
      <c r="B139" t="s">
        <v>15</v>
      </c>
      <c r="C139" t="s">
        <v>12</v>
      </c>
      <c r="D139">
        <v>1305</v>
      </c>
      <c r="E139">
        <v>636</v>
      </c>
      <c r="F139">
        <v>553</v>
      </c>
      <c r="G139">
        <v>39</v>
      </c>
      <c r="H139">
        <v>472</v>
      </c>
      <c r="I139">
        <v>55.66</v>
      </c>
      <c r="J139">
        <v>341</v>
      </c>
    </row>
    <row r="140" spans="1:10" x14ac:dyDescent="0.35">
      <c r="A140" s="1">
        <v>45091</v>
      </c>
      <c r="B140" t="s">
        <v>16</v>
      </c>
      <c r="C140" t="s">
        <v>11</v>
      </c>
      <c r="D140">
        <v>5451</v>
      </c>
      <c r="E140">
        <v>3093</v>
      </c>
      <c r="F140">
        <v>6169</v>
      </c>
      <c r="G140">
        <v>15</v>
      </c>
      <c r="H140">
        <v>120</v>
      </c>
      <c r="I140">
        <v>30.11</v>
      </c>
      <c r="J140">
        <v>1865</v>
      </c>
    </row>
    <row r="141" spans="1:10" x14ac:dyDescent="0.35">
      <c r="A141" s="1">
        <v>45091</v>
      </c>
      <c r="B141" t="s">
        <v>16</v>
      </c>
      <c r="C141" t="s">
        <v>12</v>
      </c>
      <c r="D141">
        <v>3636</v>
      </c>
      <c r="E141">
        <v>3391</v>
      </c>
      <c r="F141">
        <v>1844</v>
      </c>
      <c r="G141">
        <v>48</v>
      </c>
      <c r="H141">
        <v>72</v>
      </c>
      <c r="I141">
        <v>159.04</v>
      </c>
      <c r="J141">
        <v>986</v>
      </c>
    </row>
    <row r="142" spans="1:10" x14ac:dyDescent="0.35">
      <c r="A142" s="1">
        <v>45092</v>
      </c>
      <c r="B142" t="s">
        <v>10</v>
      </c>
      <c r="C142" t="s">
        <v>11</v>
      </c>
      <c r="D142">
        <v>9806</v>
      </c>
      <c r="E142">
        <v>6863</v>
      </c>
      <c r="F142">
        <v>5072</v>
      </c>
      <c r="G142">
        <v>95</v>
      </c>
      <c r="H142">
        <v>34</v>
      </c>
      <c r="I142">
        <v>121.7</v>
      </c>
      <c r="J142">
        <v>2976</v>
      </c>
    </row>
    <row r="143" spans="1:10" x14ac:dyDescent="0.35">
      <c r="A143" s="1">
        <v>45092</v>
      </c>
      <c r="B143" t="s">
        <v>10</v>
      </c>
      <c r="C143" t="s">
        <v>12</v>
      </c>
      <c r="D143">
        <v>6100</v>
      </c>
      <c r="E143">
        <v>9606</v>
      </c>
      <c r="F143">
        <v>3150</v>
      </c>
      <c r="G143">
        <v>154</v>
      </c>
      <c r="H143">
        <v>46</v>
      </c>
      <c r="I143">
        <v>108.71</v>
      </c>
      <c r="J143">
        <v>1945</v>
      </c>
    </row>
    <row r="144" spans="1:10" x14ac:dyDescent="0.35">
      <c r="A144" s="1">
        <v>45092</v>
      </c>
      <c r="B144" t="s">
        <v>13</v>
      </c>
      <c r="C144" t="s">
        <v>11</v>
      </c>
      <c r="D144">
        <v>6522</v>
      </c>
      <c r="E144">
        <v>4895</v>
      </c>
      <c r="F144">
        <v>5464</v>
      </c>
      <c r="G144">
        <v>31</v>
      </c>
      <c r="H144">
        <v>50</v>
      </c>
      <c r="I144">
        <v>170.8</v>
      </c>
      <c r="J144">
        <v>2113</v>
      </c>
    </row>
    <row r="145" spans="1:10" x14ac:dyDescent="0.35">
      <c r="A145" s="1">
        <v>45092</v>
      </c>
      <c r="B145" t="s">
        <v>13</v>
      </c>
      <c r="C145" t="s">
        <v>12</v>
      </c>
      <c r="D145">
        <v>4695</v>
      </c>
      <c r="E145">
        <v>3645</v>
      </c>
      <c r="F145">
        <v>2049</v>
      </c>
      <c r="G145">
        <v>20</v>
      </c>
      <c r="H145">
        <v>90</v>
      </c>
      <c r="I145">
        <v>113.38</v>
      </c>
      <c r="J145">
        <v>1097</v>
      </c>
    </row>
    <row r="146" spans="1:10" x14ac:dyDescent="0.35">
      <c r="A146" s="1">
        <v>45092</v>
      </c>
      <c r="B146" t="s">
        <v>14</v>
      </c>
      <c r="C146" t="s">
        <v>11</v>
      </c>
      <c r="D146">
        <v>7283</v>
      </c>
      <c r="E146">
        <v>4687</v>
      </c>
      <c r="F146">
        <v>4118</v>
      </c>
      <c r="G146">
        <v>50</v>
      </c>
      <c r="H146">
        <v>56</v>
      </c>
      <c r="I146">
        <v>109.45</v>
      </c>
      <c r="J146">
        <v>2218</v>
      </c>
    </row>
    <row r="147" spans="1:10" x14ac:dyDescent="0.35">
      <c r="A147" s="1">
        <v>45092</v>
      </c>
      <c r="B147" t="s">
        <v>14</v>
      </c>
      <c r="C147" t="s">
        <v>12</v>
      </c>
      <c r="D147">
        <v>6860</v>
      </c>
      <c r="E147">
        <v>4311</v>
      </c>
      <c r="F147">
        <v>2714</v>
      </c>
      <c r="G147">
        <v>61</v>
      </c>
      <c r="H147">
        <v>83</v>
      </c>
      <c r="I147">
        <v>53.44</v>
      </c>
      <c r="J147">
        <v>1579</v>
      </c>
    </row>
    <row r="148" spans="1:10" x14ac:dyDescent="0.35">
      <c r="A148" s="1">
        <v>45092</v>
      </c>
      <c r="B148" t="s">
        <v>15</v>
      </c>
      <c r="C148" t="s">
        <v>11</v>
      </c>
      <c r="D148">
        <v>4051</v>
      </c>
      <c r="E148">
        <v>2319</v>
      </c>
      <c r="F148">
        <v>1215</v>
      </c>
      <c r="G148">
        <v>38</v>
      </c>
      <c r="H148">
        <v>797</v>
      </c>
      <c r="I148">
        <v>146.80000000000001</v>
      </c>
      <c r="J148">
        <v>466</v>
      </c>
    </row>
    <row r="149" spans="1:10" x14ac:dyDescent="0.35">
      <c r="A149" s="1">
        <v>45092</v>
      </c>
      <c r="B149" t="s">
        <v>15</v>
      </c>
      <c r="C149" t="s">
        <v>12</v>
      </c>
      <c r="D149">
        <v>2441</v>
      </c>
      <c r="E149">
        <v>602</v>
      </c>
      <c r="F149">
        <v>797</v>
      </c>
      <c r="G149">
        <v>41</v>
      </c>
      <c r="H149">
        <v>584</v>
      </c>
      <c r="I149">
        <v>159.16</v>
      </c>
      <c r="J149">
        <v>253</v>
      </c>
    </row>
    <row r="150" spans="1:10" x14ac:dyDescent="0.35">
      <c r="A150" s="1">
        <v>45092</v>
      </c>
      <c r="B150" t="s">
        <v>16</v>
      </c>
      <c r="C150" t="s">
        <v>11</v>
      </c>
      <c r="D150">
        <v>8672</v>
      </c>
      <c r="E150">
        <v>4568</v>
      </c>
      <c r="F150">
        <v>3477</v>
      </c>
      <c r="G150">
        <v>28</v>
      </c>
      <c r="H150">
        <v>33</v>
      </c>
      <c r="I150">
        <v>33.229999999999997</v>
      </c>
      <c r="J150">
        <v>1860</v>
      </c>
    </row>
    <row r="151" spans="1:10" x14ac:dyDescent="0.35">
      <c r="A151" s="1">
        <v>45092</v>
      </c>
      <c r="B151" t="s">
        <v>16</v>
      </c>
      <c r="C151" t="s">
        <v>12</v>
      </c>
      <c r="D151">
        <v>2466</v>
      </c>
      <c r="E151">
        <v>1119</v>
      </c>
      <c r="F151">
        <v>1269</v>
      </c>
      <c r="G151">
        <v>17</v>
      </c>
      <c r="H151">
        <v>69</v>
      </c>
      <c r="I151">
        <v>33.06</v>
      </c>
      <c r="J151">
        <v>717</v>
      </c>
    </row>
    <row r="152" spans="1:10" x14ac:dyDescent="0.35">
      <c r="A152" s="1">
        <v>45093</v>
      </c>
      <c r="B152" t="s">
        <v>10</v>
      </c>
      <c r="C152" t="s">
        <v>11</v>
      </c>
      <c r="D152">
        <v>11750</v>
      </c>
      <c r="E152">
        <v>8570</v>
      </c>
      <c r="F152">
        <v>6874</v>
      </c>
      <c r="G152">
        <v>65</v>
      </c>
      <c r="H152">
        <v>53</v>
      </c>
      <c r="I152">
        <v>177.08</v>
      </c>
      <c r="J152">
        <v>4494</v>
      </c>
    </row>
    <row r="153" spans="1:10" x14ac:dyDescent="0.35">
      <c r="A153" s="1">
        <v>45093</v>
      </c>
      <c r="B153" t="s">
        <v>10</v>
      </c>
      <c r="C153" t="s">
        <v>12</v>
      </c>
      <c r="D153">
        <v>7492</v>
      </c>
      <c r="E153">
        <v>6893</v>
      </c>
      <c r="F153">
        <v>3626</v>
      </c>
      <c r="G153">
        <v>72</v>
      </c>
      <c r="H153">
        <v>95</v>
      </c>
      <c r="I153">
        <v>81.260000000000005</v>
      </c>
      <c r="J153">
        <v>1360</v>
      </c>
    </row>
    <row r="154" spans="1:10" x14ac:dyDescent="0.35">
      <c r="A154" s="1">
        <v>45093</v>
      </c>
      <c r="B154" t="s">
        <v>13</v>
      </c>
      <c r="C154" t="s">
        <v>11</v>
      </c>
      <c r="D154">
        <v>6257</v>
      </c>
      <c r="E154">
        <v>4239</v>
      </c>
      <c r="F154">
        <v>2310</v>
      </c>
      <c r="G154">
        <v>46</v>
      </c>
      <c r="H154">
        <v>41</v>
      </c>
      <c r="I154">
        <v>172.95</v>
      </c>
      <c r="J154">
        <v>876</v>
      </c>
    </row>
    <row r="155" spans="1:10" x14ac:dyDescent="0.35">
      <c r="A155" s="1">
        <v>45093</v>
      </c>
      <c r="B155" t="s">
        <v>13</v>
      </c>
      <c r="C155" t="s">
        <v>12</v>
      </c>
      <c r="D155">
        <v>7680</v>
      </c>
      <c r="E155">
        <v>3779</v>
      </c>
      <c r="F155">
        <v>4537</v>
      </c>
      <c r="G155">
        <v>21</v>
      </c>
      <c r="H155">
        <v>38</v>
      </c>
      <c r="I155">
        <v>101.63</v>
      </c>
      <c r="J155">
        <v>3165</v>
      </c>
    </row>
    <row r="156" spans="1:10" x14ac:dyDescent="0.35">
      <c r="A156" s="1">
        <v>45093</v>
      </c>
      <c r="B156" t="s">
        <v>14</v>
      </c>
      <c r="C156" t="s">
        <v>11</v>
      </c>
      <c r="D156">
        <v>9064</v>
      </c>
      <c r="E156">
        <v>4761</v>
      </c>
      <c r="F156">
        <v>4612</v>
      </c>
      <c r="G156">
        <v>66</v>
      </c>
      <c r="H156">
        <v>44</v>
      </c>
      <c r="I156">
        <v>51.93</v>
      </c>
      <c r="J156">
        <v>1703</v>
      </c>
    </row>
    <row r="157" spans="1:10" x14ac:dyDescent="0.35">
      <c r="A157" s="1">
        <v>45093</v>
      </c>
      <c r="B157" t="s">
        <v>14</v>
      </c>
      <c r="C157" t="s">
        <v>12</v>
      </c>
      <c r="D157">
        <v>6089</v>
      </c>
      <c r="E157">
        <v>1614</v>
      </c>
      <c r="F157">
        <v>3398</v>
      </c>
      <c r="G157">
        <v>25</v>
      </c>
      <c r="H157">
        <v>89</v>
      </c>
      <c r="I157">
        <v>36.369999999999997</v>
      </c>
      <c r="J157">
        <v>1719</v>
      </c>
    </row>
    <row r="158" spans="1:10" x14ac:dyDescent="0.35">
      <c r="A158" s="1">
        <v>45093</v>
      </c>
      <c r="B158" t="s">
        <v>15</v>
      </c>
      <c r="C158" t="s">
        <v>11</v>
      </c>
      <c r="D158">
        <v>1865</v>
      </c>
      <c r="E158">
        <v>1731</v>
      </c>
      <c r="F158">
        <v>1013</v>
      </c>
      <c r="G158">
        <v>26</v>
      </c>
      <c r="H158">
        <v>98</v>
      </c>
      <c r="I158">
        <v>82.39</v>
      </c>
      <c r="J158">
        <v>602</v>
      </c>
    </row>
    <row r="159" spans="1:10" x14ac:dyDescent="0.35">
      <c r="A159" s="1">
        <v>45093</v>
      </c>
      <c r="B159" t="s">
        <v>15</v>
      </c>
      <c r="C159" t="s">
        <v>12</v>
      </c>
      <c r="D159">
        <v>1195</v>
      </c>
      <c r="E159">
        <v>291</v>
      </c>
      <c r="F159">
        <v>1376</v>
      </c>
      <c r="G159">
        <v>42</v>
      </c>
      <c r="H159">
        <v>534</v>
      </c>
      <c r="I159">
        <v>127.74</v>
      </c>
      <c r="J159">
        <v>203</v>
      </c>
    </row>
    <row r="160" spans="1:10" x14ac:dyDescent="0.35">
      <c r="A160" s="1">
        <v>45093</v>
      </c>
      <c r="B160" t="s">
        <v>16</v>
      </c>
      <c r="C160" t="s">
        <v>11</v>
      </c>
      <c r="D160">
        <v>5422</v>
      </c>
      <c r="E160">
        <v>5171</v>
      </c>
      <c r="F160">
        <v>3062</v>
      </c>
      <c r="G160">
        <v>30</v>
      </c>
      <c r="H160">
        <v>51</v>
      </c>
      <c r="I160">
        <v>72.39</v>
      </c>
      <c r="J160">
        <v>1630</v>
      </c>
    </row>
    <row r="161" spans="1:10" x14ac:dyDescent="0.35">
      <c r="A161" s="1">
        <v>45093</v>
      </c>
      <c r="B161" t="s">
        <v>16</v>
      </c>
      <c r="C161" t="s">
        <v>12</v>
      </c>
      <c r="D161">
        <v>7671</v>
      </c>
      <c r="E161">
        <v>4844</v>
      </c>
      <c r="F161">
        <v>3990</v>
      </c>
      <c r="G161">
        <v>73</v>
      </c>
      <c r="H161">
        <v>76</v>
      </c>
      <c r="I161">
        <v>155.35</v>
      </c>
      <c r="J161">
        <v>2133</v>
      </c>
    </row>
    <row r="162" spans="1:10" x14ac:dyDescent="0.35">
      <c r="A162" s="1">
        <v>45094</v>
      </c>
      <c r="B162" t="s">
        <v>10</v>
      </c>
      <c r="C162" t="s">
        <v>11</v>
      </c>
      <c r="D162">
        <v>6034</v>
      </c>
      <c r="E162">
        <v>2899</v>
      </c>
      <c r="F162">
        <v>3493</v>
      </c>
      <c r="G162">
        <v>23</v>
      </c>
      <c r="H162">
        <v>52</v>
      </c>
      <c r="I162">
        <v>41.17</v>
      </c>
      <c r="J162">
        <v>1214</v>
      </c>
    </row>
    <row r="163" spans="1:10" x14ac:dyDescent="0.35">
      <c r="A163" s="1">
        <v>45094</v>
      </c>
      <c r="B163" t="s">
        <v>10</v>
      </c>
      <c r="C163" t="s">
        <v>12</v>
      </c>
      <c r="D163">
        <v>3334</v>
      </c>
      <c r="E163">
        <v>2892</v>
      </c>
      <c r="F163">
        <v>1826</v>
      </c>
      <c r="G163">
        <v>15</v>
      </c>
      <c r="H163">
        <v>31</v>
      </c>
      <c r="I163">
        <v>164.94</v>
      </c>
      <c r="J163">
        <v>654</v>
      </c>
    </row>
    <row r="164" spans="1:10" x14ac:dyDescent="0.35">
      <c r="A164" s="1">
        <v>45094</v>
      </c>
      <c r="B164" t="s">
        <v>13</v>
      </c>
      <c r="C164" t="s">
        <v>11</v>
      </c>
      <c r="D164">
        <v>9193</v>
      </c>
      <c r="E164">
        <v>7620</v>
      </c>
      <c r="F164">
        <v>4157</v>
      </c>
      <c r="G164">
        <v>112</v>
      </c>
      <c r="H164">
        <v>87</v>
      </c>
      <c r="I164">
        <v>68.86</v>
      </c>
      <c r="J164">
        <v>1259</v>
      </c>
    </row>
    <row r="165" spans="1:10" x14ac:dyDescent="0.35">
      <c r="A165" s="1">
        <v>45094</v>
      </c>
      <c r="B165" t="s">
        <v>13</v>
      </c>
      <c r="C165" t="s">
        <v>12</v>
      </c>
      <c r="D165">
        <v>7418</v>
      </c>
      <c r="E165">
        <v>5154</v>
      </c>
      <c r="F165">
        <v>3636</v>
      </c>
      <c r="G165">
        <v>41</v>
      </c>
      <c r="H165">
        <v>34</v>
      </c>
      <c r="I165">
        <v>61.75</v>
      </c>
      <c r="J165">
        <v>1974</v>
      </c>
    </row>
    <row r="166" spans="1:10" x14ac:dyDescent="0.35">
      <c r="A166" s="1">
        <v>45094</v>
      </c>
      <c r="B166" t="s">
        <v>14</v>
      </c>
      <c r="C166" t="s">
        <v>11</v>
      </c>
      <c r="D166">
        <v>10031</v>
      </c>
      <c r="E166">
        <v>6316</v>
      </c>
      <c r="F166">
        <v>4038</v>
      </c>
      <c r="G166">
        <v>102</v>
      </c>
      <c r="H166">
        <v>45</v>
      </c>
      <c r="I166">
        <v>169.64</v>
      </c>
      <c r="J166">
        <v>2361</v>
      </c>
    </row>
    <row r="167" spans="1:10" x14ac:dyDescent="0.35">
      <c r="A167" s="1">
        <v>45094</v>
      </c>
      <c r="B167" t="s">
        <v>14</v>
      </c>
      <c r="C167" t="s">
        <v>12</v>
      </c>
      <c r="D167">
        <v>2755</v>
      </c>
      <c r="E167">
        <v>2190</v>
      </c>
      <c r="F167">
        <v>964</v>
      </c>
      <c r="G167">
        <v>35</v>
      </c>
      <c r="H167">
        <v>37</v>
      </c>
      <c r="I167">
        <v>72.069999999999993</v>
      </c>
      <c r="J167">
        <v>624</v>
      </c>
    </row>
    <row r="168" spans="1:10" x14ac:dyDescent="0.35">
      <c r="A168" s="1">
        <v>45094</v>
      </c>
      <c r="B168" t="s">
        <v>15</v>
      </c>
      <c r="C168" t="s">
        <v>11</v>
      </c>
      <c r="D168">
        <v>2871</v>
      </c>
      <c r="E168">
        <v>843</v>
      </c>
      <c r="F168">
        <v>1714</v>
      </c>
      <c r="G168">
        <v>13</v>
      </c>
      <c r="H168">
        <v>105</v>
      </c>
      <c r="I168">
        <v>36.46</v>
      </c>
      <c r="J168">
        <v>1036</v>
      </c>
    </row>
    <row r="169" spans="1:10" x14ac:dyDescent="0.35">
      <c r="A169" s="1">
        <v>45094</v>
      </c>
      <c r="B169" t="s">
        <v>15</v>
      </c>
      <c r="C169" t="s">
        <v>12</v>
      </c>
      <c r="D169">
        <v>1486</v>
      </c>
      <c r="E169">
        <v>767</v>
      </c>
      <c r="F169">
        <v>2812</v>
      </c>
      <c r="G169">
        <v>42</v>
      </c>
      <c r="H169">
        <v>710</v>
      </c>
      <c r="I169">
        <v>15.17</v>
      </c>
      <c r="J169">
        <v>379</v>
      </c>
    </row>
    <row r="170" spans="1:10" x14ac:dyDescent="0.35">
      <c r="A170" s="1">
        <v>45094</v>
      </c>
      <c r="B170" t="s">
        <v>16</v>
      </c>
      <c r="C170" t="s">
        <v>11</v>
      </c>
      <c r="D170">
        <v>10047</v>
      </c>
      <c r="E170">
        <v>4391</v>
      </c>
      <c r="F170">
        <v>4299</v>
      </c>
      <c r="G170">
        <v>73</v>
      </c>
      <c r="H170">
        <v>57</v>
      </c>
      <c r="I170">
        <v>151.28</v>
      </c>
      <c r="J170">
        <v>2163</v>
      </c>
    </row>
    <row r="171" spans="1:10" x14ac:dyDescent="0.35">
      <c r="A171" s="1">
        <v>45094</v>
      </c>
      <c r="B171" t="s">
        <v>16</v>
      </c>
      <c r="C171" t="s">
        <v>12</v>
      </c>
      <c r="D171">
        <v>2439</v>
      </c>
      <c r="E171">
        <v>973</v>
      </c>
      <c r="F171">
        <v>1230</v>
      </c>
      <c r="G171">
        <v>44</v>
      </c>
      <c r="H171">
        <v>128</v>
      </c>
      <c r="I171">
        <v>173.93</v>
      </c>
      <c r="J171">
        <v>731</v>
      </c>
    </row>
    <row r="172" spans="1:10" x14ac:dyDescent="0.35">
      <c r="A172" s="1">
        <v>45095</v>
      </c>
      <c r="B172" t="s">
        <v>10</v>
      </c>
      <c r="C172" t="s">
        <v>11</v>
      </c>
      <c r="D172">
        <v>15033</v>
      </c>
      <c r="E172">
        <v>8287</v>
      </c>
      <c r="F172">
        <v>6403</v>
      </c>
      <c r="G172">
        <v>133</v>
      </c>
      <c r="H172">
        <v>87</v>
      </c>
      <c r="I172">
        <v>66.47</v>
      </c>
      <c r="J172">
        <v>3760</v>
      </c>
    </row>
    <row r="173" spans="1:10" x14ac:dyDescent="0.35">
      <c r="A173" s="1">
        <v>45095</v>
      </c>
      <c r="B173" t="s">
        <v>10</v>
      </c>
      <c r="C173" t="s">
        <v>12</v>
      </c>
      <c r="D173">
        <v>10714</v>
      </c>
      <c r="E173">
        <v>9468</v>
      </c>
      <c r="F173">
        <v>3899</v>
      </c>
      <c r="G173">
        <v>73</v>
      </c>
      <c r="H173">
        <v>67</v>
      </c>
      <c r="I173">
        <v>107.85</v>
      </c>
      <c r="J173">
        <v>1224</v>
      </c>
    </row>
    <row r="174" spans="1:10" x14ac:dyDescent="0.35">
      <c r="A174" s="1">
        <v>45095</v>
      </c>
      <c r="B174" t="s">
        <v>13</v>
      </c>
      <c r="C174" t="s">
        <v>11</v>
      </c>
      <c r="D174">
        <v>6981</v>
      </c>
      <c r="E174">
        <v>4054</v>
      </c>
      <c r="F174">
        <v>2483</v>
      </c>
      <c r="G174">
        <v>66</v>
      </c>
      <c r="H174">
        <v>107</v>
      </c>
      <c r="I174">
        <v>89.86</v>
      </c>
      <c r="J174">
        <v>1715</v>
      </c>
    </row>
    <row r="175" spans="1:10" x14ac:dyDescent="0.35">
      <c r="A175" s="1">
        <v>45095</v>
      </c>
      <c r="B175" t="s">
        <v>13</v>
      </c>
      <c r="C175" t="s">
        <v>12</v>
      </c>
      <c r="D175">
        <v>3453</v>
      </c>
      <c r="E175">
        <v>2721</v>
      </c>
      <c r="F175">
        <v>1172</v>
      </c>
      <c r="G175">
        <v>33</v>
      </c>
      <c r="H175">
        <v>700</v>
      </c>
      <c r="I175">
        <v>45.6</v>
      </c>
      <c r="J175">
        <v>369</v>
      </c>
    </row>
    <row r="176" spans="1:10" x14ac:dyDescent="0.35">
      <c r="A176" s="1">
        <v>45095</v>
      </c>
      <c r="B176" t="s">
        <v>14</v>
      </c>
      <c r="C176" t="s">
        <v>11</v>
      </c>
      <c r="D176">
        <v>3316</v>
      </c>
      <c r="E176">
        <v>1945</v>
      </c>
      <c r="F176">
        <v>1119</v>
      </c>
      <c r="G176">
        <v>12</v>
      </c>
      <c r="H176">
        <v>30</v>
      </c>
      <c r="I176">
        <v>52.21</v>
      </c>
      <c r="J176">
        <v>681</v>
      </c>
    </row>
    <row r="177" spans="1:10" x14ac:dyDescent="0.35">
      <c r="A177" s="1">
        <v>45095</v>
      </c>
      <c r="B177" t="s">
        <v>14</v>
      </c>
      <c r="C177" t="s">
        <v>12</v>
      </c>
      <c r="D177">
        <v>4840</v>
      </c>
      <c r="E177">
        <v>1385</v>
      </c>
      <c r="F177">
        <v>1842</v>
      </c>
      <c r="G177">
        <v>16</v>
      </c>
      <c r="H177">
        <v>122</v>
      </c>
      <c r="I177">
        <v>39.68</v>
      </c>
      <c r="J177">
        <v>1214</v>
      </c>
    </row>
    <row r="178" spans="1:10" x14ac:dyDescent="0.35">
      <c r="A178" s="1">
        <v>45095</v>
      </c>
      <c r="B178" t="s">
        <v>15</v>
      </c>
      <c r="C178" t="s">
        <v>11</v>
      </c>
      <c r="D178">
        <v>5116</v>
      </c>
      <c r="E178">
        <v>1494</v>
      </c>
      <c r="F178">
        <v>2271</v>
      </c>
      <c r="G178">
        <v>14</v>
      </c>
      <c r="H178">
        <v>120</v>
      </c>
      <c r="I178">
        <v>139.91</v>
      </c>
      <c r="J178">
        <v>1295</v>
      </c>
    </row>
    <row r="179" spans="1:10" x14ac:dyDescent="0.35">
      <c r="A179" s="1">
        <v>45095</v>
      </c>
      <c r="B179" t="s">
        <v>15</v>
      </c>
      <c r="C179" t="s">
        <v>12</v>
      </c>
      <c r="D179">
        <v>1409</v>
      </c>
      <c r="E179">
        <v>1129</v>
      </c>
      <c r="F179">
        <v>626</v>
      </c>
      <c r="G179">
        <v>44</v>
      </c>
      <c r="H179">
        <v>548</v>
      </c>
      <c r="I179">
        <v>109.2</v>
      </c>
      <c r="J179">
        <v>217</v>
      </c>
    </row>
    <row r="180" spans="1:10" x14ac:dyDescent="0.35">
      <c r="A180" s="1">
        <v>45095</v>
      </c>
      <c r="B180" t="s">
        <v>16</v>
      </c>
      <c r="C180" t="s">
        <v>11</v>
      </c>
      <c r="D180">
        <v>8270</v>
      </c>
      <c r="E180">
        <v>4856</v>
      </c>
      <c r="F180">
        <v>3339</v>
      </c>
      <c r="G180">
        <v>36</v>
      </c>
      <c r="H180">
        <v>54</v>
      </c>
      <c r="I180">
        <v>100.42</v>
      </c>
      <c r="J180">
        <v>2168</v>
      </c>
    </row>
    <row r="181" spans="1:10" x14ac:dyDescent="0.35">
      <c r="A181" s="1">
        <v>45095</v>
      </c>
      <c r="B181" t="s">
        <v>16</v>
      </c>
      <c r="C181" t="s">
        <v>12</v>
      </c>
      <c r="D181">
        <v>6416</v>
      </c>
      <c r="E181">
        <v>5616</v>
      </c>
      <c r="F181">
        <v>3512</v>
      </c>
      <c r="G181">
        <v>33</v>
      </c>
      <c r="H181">
        <v>106</v>
      </c>
      <c r="I181">
        <v>108.64</v>
      </c>
      <c r="J181">
        <v>1619</v>
      </c>
    </row>
    <row r="182" spans="1:10" x14ac:dyDescent="0.35">
      <c r="A182" s="1">
        <v>45096</v>
      </c>
      <c r="B182" t="s">
        <v>10</v>
      </c>
      <c r="C182" t="s">
        <v>11</v>
      </c>
      <c r="D182">
        <v>6038</v>
      </c>
      <c r="E182">
        <v>4463</v>
      </c>
      <c r="F182">
        <v>1886</v>
      </c>
      <c r="G182">
        <v>65</v>
      </c>
      <c r="H182">
        <v>75</v>
      </c>
      <c r="I182">
        <v>131.57</v>
      </c>
      <c r="J182">
        <v>1135</v>
      </c>
    </row>
    <row r="183" spans="1:10" x14ac:dyDescent="0.35">
      <c r="A183" s="1">
        <v>45096</v>
      </c>
      <c r="B183" t="s">
        <v>10</v>
      </c>
      <c r="C183" t="s">
        <v>12</v>
      </c>
      <c r="D183">
        <v>4155</v>
      </c>
      <c r="E183">
        <v>2776</v>
      </c>
      <c r="F183">
        <v>2010</v>
      </c>
      <c r="G183">
        <v>34</v>
      </c>
      <c r="H183">
        <v>51</v>
      </c>
      <c r="I183">
        <v>132.82</v>
      </c>
      <c r="J183">
        <v>873</v>
      </c>
    </row>
    <row r="184" spans="1:10" x14ac:dyDescent="0.35">
      <c r="A184" s="1">
        <v>45096</v>
      </c>
      <c r="B184" t="s">
        <v>13</v>
      </c>
      <c r="C184" t="s">
        <v>11</v>
      </c>
      <c r="D184">
        <v>5033</v>
      </c>
      <c r="E184">
        <v>4047</v>
      </c>
      <c r="F184">
        <v>2241</v>
      </c>
      <c r="G184">
        <v>49</v>
      </c>
      <c r="H184">
        <v>59</v>
      </c>
      <c r="I184">
        <v>149.85</v>
      </c>
      <c r="J184">
        <v>1339</v>
      </c>
    </row>
    <row r="185" spans="1:10" x14ac:dyDescent="0.35">
      <c r="A185" s="1">
        <v>45096</v>
      </c>
      <c r="B185" t="s">
        <v>13</v>
      </c>
      <c r="C185" t="s">
        <v>12</v>
      </c>
      <c r="D185">
        <v>5440</v>
      </c>
      <c r="E185">
        <v>3189</v>
      </c>
      <c r="F185">
        <v>1900</v>
      </c>
      <c r="G185">
        <v>17</v>
      </c>
      <c r="H185">
        <v>89</v>
      </c>
      <c r="I185">
        <v>55.77</v>
      </c>
      <c r="J185">
        <v>945</v>
      </c>
    </row>
    <row r="186" spans="1:10" x14ac:dyDescent="0.35">
      <c r="A186" s="1">
        <v>45096</v>
      </c>
      <c r="B186" t="s">
        <v>14</v>
      </c>
      <c r="C186" t="s">
        <v>11</v>
      </c>
      <c r="D186">
        <v>9689</v>
      </c>
      <c r="E186">
        <v>5669</v>
      </c>
      <c r="F186">
        <v>3863</v>
      </c>
      <c r="G186">
        <v>69</v>
      </c>
      <c r="H186">
        <v>38</v>
      </c>
      <c r="I186">
        <v>145.30000000000001</v>
      </c>
      <c r="J186">
        <v>1976</v>
      </c>
    </row>
    <row r="187" spans="1:10" x14ac:dyDescent="0.35">
      <c r="A187" s="1">
        <v>45096</v>
      </c>
      <c r="B187" t="s">
        <v>14</v>
      </c>
      <c r="C187" t="s">
        <v>12</v>
      </c>
      <c r="D187">
        <v>3916</v>
      </c>
      <c r="E187">
        <v>1063</v>
      </c>
      <c r="F187">
        <v>1199</v>
      </c>
      <c r="G187">
        <v>45</v>
      </c>
      <c r="H187">
        <v>140</v>
      </c>
      <c r="I187">
        <v>175.84</v>
      </c>
      <c r="J187">
        <v>712</v>
      </c>
    </row>
    <row r="188" spans="1:10" x14ac:dyDescent="0.35">
      <c r="A188" s="1">
        <v>45096</v>
      </c>
      <c r="B188" t="s">
        <v>15</v>
      </c>
      <c r="C188" t="s">
        <v>11</v>
      </c>
      <c r="D188">
        <v>4849</v>
      </c>
      <c r="E188">
        <v>1860</v>
      </c>
      <c r="F188">
        <v>1560</v>
      </c>
      <c r="G188">
        <v>24</v>
      </c>
      <c r="H188">
        <v>820</v>
      </c>
      <c r="I188">
        <v>43.74</v>
      </c>
      <c r="J188">
        <v>489</v>
      </c>
    </row>
    <row r="189" spans="1:10" x14ac:dyDescent="0.35">
      <c r="A189" s="1">
        <v>45096</v>
      </c>
      <c r="B189" t="s">
        <v>15</v>
      </c>
      <c r="C189" t="s">
        <v>12</v>
      </c>
      <c r="D189">
        <v>3807</v>
      </c>
      <c r="E189">
        <v>2907</v>
      </c>
      <c r="F189">
        <v>1628</v>
      </c>
      <c r="G189">
        <v>40</v>
      </c>
      <c r="H189">
        <v>48</v>
      </c>
      <c r="I189">
        <v>98.3</v>
      </c>
      <c r="J189">
        <v>742</v>
      </c>
    </row>
    <row r="190" spans="1:10" x14ac:dyDescent="0.35">
      <c r="A190" s="1">
        <v>45096</v>
      </c>
      <c r="B190" t="s">
        <v>16</v>
      </c>
      <c r="C190" t="s">
        <v>11</v>
      </c>
      <c r="D190">
        <v>4027</v>
      </c>
      <c r="E190">
        <v>2457</v>
      </c>
      <c r="F190">
        <v>1244</v>
      </c>
      <c r="G190">
        <v>29</v>
      </c>
      <c r="H190">
        <v>42</v>
      </c>
      <c r="I190">
        <v>163.62</v>
      </c>
      <c r="J190">
        <v>594</v>
      </c>
    </row>
    <row r="191" spans="1:10" x14ac:dyDescent="0.35">
      <c r="A191" s="1">
        <v>45096</v>
      </c>
      <c r="B191" t="s">
        <v>16</v>
      </c>
      <c r="C191" t="s">
        <v>12</v>
      </c>
      <c r="D191">
        <v>5996</v>
      </c>
      <c r="E191">
        <v>4266</v>
      </c>
      <c r="F191">
        <v>2309</v>
      </c>
      <c r="G191">
        <v>71</v>
      </c>
      <c r="H191">
        <v>94</v>
      </c>
      <c r="I191">
        <v>119.21</v>
      </c>
      <c r="J191">
        <v>1066</v>
      </c>
    </row>
    <row r="192" spans="1:10" x14ac:dyDescent="0.35">
      <c r="A192" s="1">
        <v>45097</v>
      </c>
      <c r="B192" t="s">
        <v>10</v>
      </c>
      <c r="C192" t="s">
        <v>11</v>
      </c>
      <c r="D192">
        <v>7162</v>
      </c>
      <c r="E192">
        <v>2934</v>
      </c>
      <c r="F192">
        <v>3020</v>
      </c>
      <c r="G192">
        <v>41</v>
      </c>
      <c r="H192">
        <v>102</v>
      </c>
      <c r="I192">
        <v>175.28</v>
      </c>
      <c r="J192">
        <v>1724</v>
      </c>
    </row>
    <row r="193" spans="1:10" x14ac:dyDescent="0.35">
      <c r="A193" s="1">
        <v>45097</v>
      </c>
      <c r="B193" t="s">
        <v>10</v>
      </c>
      <c r="C193" t="s">
        <v>12</v>
      </c>
      <c r="D193">
        <v>3224</v>
      </c>
      <c r="E193">
        <v>1732</v>
      </c>
      <c r="F193">
        <v>1390</v>
      </c>
      <c r="G193">
        <v>10</v>
      </c>
      <c r="H193">
        <v>809</v>
      </c>
      <c r="I193">
        <v>99.94</v>
      </c>
      <c r="J193">
        <v>478</v>
      </c>
    </row>
    <row r="194" spans="1:10" x14ac:dyDescent="0.35">
      <c r="A194" s="1">
        <v>45097</v>
      </c>
      <c r="B194" t="s">
        <v>13</v>
      </c>
      <c r="C194" t="s">
        <v>11</v>
      </c>
      <c r="D194">
        <v>5578</v>
      </c>
      <c r="E194">
        <v>3302</v>
      </c>
      <c r="F194">
        <v>5738</v>
      </c>
      <c r="G194">
        <v>51</v>
      </c>
      <c r="H194">
        <v>31</v>
      </c>
      <c r="I194">
        <v>123.36</v>
      </c>
      <c r="J194">
        <v>2527</v>
      </c>
    </row>
    <row r="195" spans="1:10" x14ac:dyDescent="0.35">
      <c r="A195" s="1">
        <v>45097</v>
      </c>
      <c r="B195" t="s">
        <v>13</v>
      </c>
      <c r="C195" t="s">
        <v>12</v>
      </c>
      <c r="D195">
        <v>6095</v>
      </c>
      <c r="E195">
        <v>4045</v>
      </c>
      <c r="F195">
        <v>2554</v>
      </c>
      <c r="G195">
        <v>48</v>
      </c>
      <c r="H195">
        <v>87</v>
      </c>
      <c r="I195">
        <v>27.13</v>
      </c>
      <c r="J195">
        <v>1038</v>
      </c>
    </row>
    <row r="196" spans="1:10" x14ac:dyDescent="0.35">
      <c r="A196" s="1">
        <v>45097</v>
      </c>
      <c r="B196" t="s">
        <v>14</v>
      </c>
      <c r="C196" t="s">
        <v>11</v>
      </c>
      <c r="D196">
        <v>3161</v>
      </c>
      <c r="E196">
        <v>1511</v>
      </c>
      <c r="F196">
        <v>1583</v>
      </c>
      <c r="G196">
        <v>15</v>
      </c>
      <c r="H196">
        <v>44</v>
      </c>
      <c r="I196">
        <v>116.83</v>
      </c>
      <c r="J196">
        <v>579</v>
      </c>
    </row>
    <row r="197" spans="1:10" x14ac:dyDescent="0.35">
      <c r="A197" s="1">
        <v>45097</v>
      </c>
      <c r="B197" t="s">
        <v>14</v>
      </c>
      <c r="C197" t="s">
        <v>12</v>
      </c>
      <c r="D197">
        <v>4662</v>
      </c>
      <c r="E197">
        <v>1967</v>
      </c>
      <c r="F197">
        <v>1929</v>
      </c>
      <c r="G197">
        <v>18</v>
      </c>
      <c r="H197">
        <v>121</v>
      </c>
      <c r="I197">
        <v>93.31</v>
      </c>
      <c r="J197">
        <v>1104</v>
      </c>
    </row>
    <row r="198" spans="1:10" x14ac:dyDescent="0.35">
      <c r="A198" s="1">
        <v>45097</v>
      </c>
      <c r="B198" t="s">
        <v>15</v>
      </c>
      <c r="C198" t="s">
        <v>11</v>
      </c>
      <c r="D198">
        <v>2570</v>
      </c>
      <c r="E198">
        <v>1922</v>
      </c>
      <c r="F198">
        <v>1437</v>
      </c>
      <c r="G198">
        <v>20</v>
      </c>
      <c r="H198">
        <v>141</v>
      </c>
      <c r="I198">
        <v>177.8</v>
      </c>
      <c r="J198">
        <v>792</v>
      </c>
    </row>
    <row r="199" spans="1:10" x14ac:dyDescent="0.35">
      <c r="A199" s="1">
        <v>45097</v>
      </c>
      <c r="B199" t="s">
        <v>15</v>
      </c>
      <c r="C199" t="s">
        <v>12</v>
      </c>
      <c r="D199">
        <v>1194</v>
      </c>
      <c r="E199">
        <v>743</v>
      </c>
      <c r="F199">
        <v>2714</v>
      </c>
      <c r="G199">
        <v>12</v>
      </c>
      <c r="H199">
        <v>463</v>
      </c>
      <c r="I199">
        <v>29.61</v>
      </c>
      <c r="J199">
        <v>132</v>
      </c>
    </row>
    <row r="200" spans="1:10" x14ac:dyDescent="0.35">
      <c r="A200" s="1">
        <v>45097</v>
      </c>
      <c r="B200" t="s">
        <v>16</v>
      </c>
      <c r="C200" t="s">
        <v>11</v>
      </c>
      <c r="D200">
        <v>6083</v>
      </c>
      <c r="E200">
        <v>6708</v>
      </c>
      <c r="F200">
        <v>3818</v>
      </c>
      <c r="G200">
        <v>37</v>
      </c>
      <c r="H200">
        <v>48</v>
      </c>
      <c r="I200">
        <v>17.87</v>
      </c>
      <c r="J200">
        <v>2841</v>
      </c>
    </row>
    <row r="201" spans="1:10" x14ac:dyDescent="0.35">
      <c r="A201" s="1">
        <v>45097</v>
      </c>
      <c r="B201" t="s">
        <v>16</v>
      </c>
      <c r="C201" t="s">
        <v>12</v>
      </c>
      <c r="D201">
        <v>7002</v>
      </c>
      <c r="E201">
        <v>4902</v>
      </c>
      <c r="F201">
        <v>3056</v>
      </c>
      <c r="G201">
        <v>74</v>
      </c>
      <c r="H201">
        <v>31</v>
      </c>
      <c r="I201">
        <v>38.04</v>
      </c>
      <c r="J201">
        <v>1626</v>
      </c>
    </row>
    <row r="202" spans="1:10" x14ac:dyDescent="0.35">
      <c r="A202" s="1">
        <v>45098</v>
      </c>
      <c r="B202" t="s">
        <v>10</v>
      </c>
      <c r="C202" t="s">
        <v>11</v>
      </c>
      <c r="D202">
        <v>7374</v>
      </c>
      <c r="E202">
        <v>3481</v>
      </c>
      <c r="F202">
        <v>6037</v>
      </c>
      <c r="G202">
        <v>23</v>
      </c>
      <c r="H202">
        <v>79</v>
      </c>
      <c r="I202">
        <v>30.49</v>
      </c>
      <c r="J202">
        <v>3802</v>
      </c>
    </row>
    <row r="203" spans="1:10" x14ac:dyDescent="0.35">
      <c r="A203" s="1">
        <v>45098</v>
      </c>
      <c r="B203" t="s">
        <v>10</v>
      </c>
      <c r="C203" t="s">
        <v>12</v>
      </c>
      <c r="D203">
        <v>8995</v>
      </c>
      <c r="E203">
        <v>3169</v>
      </c>
      <c r="F203">
        <v>5298</v>
      </c>
      <c r="G203">
        <v>24</v>
      </c>
      <c r="H203">
        <v>131</v>
      </c>
      <c r="I203">
        <v>170.86</v>
      </c>
      <c r="J203">
        <v>2198</v>
      </c>
    </row>
    <row r="204" spans="1:10" x14ac:dyDescent="0.35">
      <c r="A204" s="1">
        <v>45098</v>
      </c>
      <c r="B204" t="s">
        <v>13</v>
      </c>
      <c r="C204" t="s">
        <v>11</v>
      </c>
      <c r="D204">
        <v>6653</v>
      </c>
      <c r="E204">
        <v>1680</v>
      </c>
      <c r="F204">
        <v>3654</v>
      </c>
      <c r="G204">
        <v>13</v>
      </c>
      <c r="H204">
        <v>51</v>
      </c>
      <c r="I204">
        <v>146.26</v>
      </c>
      <c r="J204">
        <v>2518</v>
      </c>
    </row>
    <row r="205" spans="1:10" x14ac:dyDescent="0.35">
      <c r="A205" s="1">
        <v>45098</v>
      </c>
      <c r="B205" t="s">
        <v>13</v>
      </c>
      <c r="C205" t="s">
        <v>12</v>
      </c>
      <c r="D205">
        <v>7710</v>
      </c>
      <c r="E205">
        <v>5605</v>
      </c>
      <c r="F205">
        <v>3837</v>
      </c>
      <c r="G205">
        <v>42</v>
      </c>
      <c r="H205">
        <v>76</v>
      </c>
      <c r="I205">
        <v>72.510000000000005</v>
      </c>
      <c r="J205">
        <v>1831</v>
      </c>
    </row>
    <row r="206" spans="1:10" x14ac:dyDescent="0.35">
      <c r="A206" s="1">
        <v>45098</v>
      </c>
      <c r="B206" t="s">
        <v>14</v>
      </c>
      <c r="C206" t="s">
        <v>11</v>
      </c>
      <c r="D206">
        <v>5420</v>
      </c>
      <c r="E206">
        <v>5201</v>
      </c>
      <c r="F206">
        <v>3215</v>
      </c>
      <c r="G206">
        <v>29</v>
      </c>
      <c r="H206">
        <v>103</v>
      </c>
      <c r="I206">
        <v>29.93</v>
      </c>
      <c r="J206">
        <v>1553</v>
      </c>
    </row>
    <row r="207" spans="1:10" x14ac:dyDescent="0.35">
      <c r="A207" s="1">
        <v>45098</v>
      </c>
      <c r="B207" t="s">
        <v>14</v>
      </c>
      <c r="C207" t="s">
        <v>12</v>
      </c>
      <c r="D207">
        <v>3292</v>
      </c>
      <c r="E207">
        <v>2540</v>
      </c>
      <c r="F207">
        <v>1387</v>
      </c>
      <c r="G207">
        <v>39</v>
      </c>
      <c r="H207">
        <v>72</v>
      </c>
      <c r="I207">
        <v>159.85</v>
      </c>
      <c r="J207">
        <v>2620</v>
      </c>
    </row>
    <row r="208" spans="1:10" x14ac:dyDescent="0.35">
      <c r="A208" s="1">
        <v>45098</v>
      </c>
      <c r="B208" t="s">
        <v>15</v>
      </c>
      <c r="C208" t="s">
        <v>11</v>
      </c>
      <c r="D208">
        <v>4213</v>
      </c>
      <c r="E208">
        <v>3646</v>
      </c>
      <c r="F208">
        <v>3639</v>
      </c>
      <c r="G208">
        <v>34</v>
      </c>
      <c r="H208">
        <v>49</v>
      </c>
      <c r="I208">
        <v>75.47</v>
      </c>
      <c r="J208">
        <v>2970</v>
      </c>
    </row>
    <row r="209" spans="1:10" x14ac:dyDescent="0.35">
      <c r="A209" s="1">
        <v>45098</v>
      </c>
      <c r="B209" t="s">
        <v>15</v>
      </c>
      <c r="C209" t="s">
        <v>12</v>
      </c>
      <c r="D209">
        <v>1961</v>
      </c>
      <c r="E209">
        <v>1266</v>
      </c>
      <c r="F209">
        <v>1253</v>
      </c>
      <c r="G209">
        <v>12</v>
      </c>
      <c r="H209">
        <v>78</v>
      </c>
      <c r="I209">
        <v>52.5</v>
      </c>
      <c r="J209">
        <v>1518</v>
      </c>
    </row>
    <row r="210" spans="1:10" x14ac:dyDescent="0.35">
      <c r="A210" s="1">
        <v>45098</v>
      </c>
      <c r="B210" t="s">
        <v>16</v>
      </c>
      <c r="C210" t="s">
        <v>11</v>
      </c>
      <c r="D210">
        <v>11578</v>
      </c>
      <c r="E210">
        <v>7672</v>
      </c>
      <c r="F210">
        <v>5705</v>
      </c>
      <c r="G210">
        <v>53</v>
      </c>
      <c r="H210">
        <v>110</v>
      </c>
      <c r="I210">
        <v>157.44999999999999</v>
      </c>
      <c r="J210">
        <v>3661</v>
      </c>
    </row>
    <row r="211" spans="1:10" x14ac:dyDescent="0.35">
      <c r="A211" s="1">
        <v>45098</v>
      </c>
      <c r="B211" t="s">
        <v>16</v>
      </c>
      <c r="C211" t="s">
        <v>12</v>
      </c>
      <c r="D211">
        <v>3145</v>
      </c>
      <c r="E211">
        <v>2673</v>
      </c>
      <c r="F211">
        <v>1711</v>
      </c>
      <c r="G211">
        <v>42</v>
      </c>
      <c r="H211">
        <v>136</v>
      </c>
      <c r="I211">
        <v>110.73</v>
      </c>
      <c r="J211">
        <v>2597</v>
      </c>
    </row>
    <row r="212" spans="1:10" x14ac:dyDescent="0.35">
      <c r="A212" s="1">
        <v>45099</v>
      </c>
      <c r="B212" t="s">
        <v>10</v>
      </c>
      <c r="C212" t="s">
        <v>11</v>
      </c>
      <c r="D212">
        <v>7907</v>
      </c>
      <c r="E212">
        <v>5693</v>
      </c>
      <c r="F212">
        <v>6929</v>
      </c>
      <c r="G212">
        <v>83</v>
      </c>
      <c r="H212">
        <v>108</v>
      </c>
      <c r="I212">
        <v>47.3</v>
      </c>
      <c r="J212">
        <v>4407</v>
      </c>
    </row>
    <row r="213" spans="1:10" x14ac:dyDescent="0.35">
      <c r="A213" s="1">
        <v>45099</v>
      </c>
      <c r="B213" t="s">
        <v>10</v>
      </c>
      <c r="C213" t="s">
        <v>12</v>
      </c>
      <c r="D213">
        <v>8524</v>
      </c>
      <c r="E213">
        <v>7548</v>
      </c>
      <c r="F213">
        <v>4998</v>
      </c>
      <c r="G213">
        <v>44</v>
      </c>
      <c r="H213">
        <v>51</v>
      </c>
      <c r="I213">
        <v>169.18</v>
      </c>
      <c r="J213">
        <v>2972</v>
      </c>
    </row>
    <row r="214" spans="1:10" x14ac:dyDescent="0.35">
      <c r="A214" s="1">
        <v>45099</v>
      </c>
      <c r="B214" t="s">
        <v>13</v>
      </c>
      <c r="C214" t="s">
        <v>11</v>
      </c>
      <c r="D214">
        <v>7654</v>
      </c>
      <c r="E214">
        <v>4049</v>
      </c>
      <c r="F214">
        <v>5169</v>
      </c>
      <c r="G214">
        <v>28</v>
      </c>
      <c r="H214">
        <v>31</v>
      </c>
      <c r="I214">
        <v>147.5</v>
      </c>
      <c r="J214">
        <v>2768</v>
      </c>
    </row>
    <row r="215" spans="1:10" x14ac:dyDescent="0.35">
      <c r="A215" s="1">
        <v>45099</v>
      </c>
      <c r="B215" t="s">
        <v>13</v>
      </c>
      <c r="C215" t="s">
        <v>12</v>
      </c>
      <c r="D215">
        <v>7850</v>
      </c>
      <c r="E215">
        <v>5168</v>
      </c>
      <c r="F215">
        <v>4045</v>
      </c>
      <c r="G215">
        <v>31</v>
      </c>
      <c r="H215">
        <v>76</v>
      </c>
      <c r="I215">
        <v>35.11</v>
      </c>
      <c r="J215">
        <v>1942</v>
      </c>
    </row>
    <row r="216" spans="1:10" x14ac:dyDescent="0.35">
      <c r="A216" s="1">
        <v>45099</v>
      </c>
      <c r="B216" t="s">
        <v>14</v>
      </c>
      <c r="C216" t="s">
        <v>11</v>
      </c>
      <c r="D216">
        <v>5118</v>
      </c>
      <c r="E216">
        <v>1682</v>
      </c>
      <c r="F216">
        <v>2763</v>
      </c>
      <c r="G216">
        <v>25</v>
      </c>
      <c r="H216">
        <v>41</v>
      </c>
      <c r="I216">
        <v>108.61</v>
      </c>
      <c r="J216">
        <v>1059</v>
      </c>
    </row>
    <row r="217" spans="1:10" x14ac:dyDescent="0.35">
      <c r="A217" s="1">
        <v>45099</v>
      </c>
      <c r="B217" t="s">
        <v>14</v>
      </c>
      <c r="C217" t="s">
        <v>12</v>
      </c>
      <c r="D217">
        <v>4576</v>
      </c>
      <c r="E217">
        <v>4122</v>
      </c>
      <c r="F217">
        <v>1492</v>
      </c>
      <c r="G217">
        <v>41</v>
      </c>
      <c r="H217">
        <v>109</v>
      </c>
      <c r="I217">
        <v>119.47</v>
      </c>
      <c r="J217">
        <v>1996</v>
      </c>
    </row>
    <row r="218" spans="1:10" x14ac:dyDescent="0.35">
      <c r="A218" s="1">
        <v>45099</v>
      </c>
      <c r="B218" t="s">
        <v>15</v>
      </c>
      <c r="C218" t="s">
        <v>11</v>
      </c>
      <c r="D218">
        <v>4839</v>
      </c>
      <c r="E218">
        <v>1170</v>
      </c>
      <c r="F218">
        <v>2200</v>
      </c>
      <c r="G218">
        <v>15</v>
      </c>
      <c r="H218">
        <v>111</v>
      </c>
      <c r="I218">
        <v>115.81</v>
      </c>
      <c r="J218">
        <v>1247</v>
      </c>
    </row>
    <row r="219" spans="1:10" x14ac:dyDescent="0.35">
      <c r="A219" s="1">
        <v>45099</v>
      </c>
      <c r="B219" t="s">
        <v>15</v>
      </c>
      <c r="C219" t="s">
        <v>12</v>
      </c>
      <c r="D219">
        <v>3123</v>
      </c>
      <c r="E219">
        <v>1561</v>
      </c>
      <c r="F219">
        <v>1658</v>
      </c>
      <c r="G219">
        <v>24</v>
      </c>
      <c r="H219">
        <v>67</v>
      </c>
      <c r="I219">
        <v>60.34</v>
      </c>
      <c r="J219">
        <v>1913</v>
      </c>
    </row>
    <row r="220" spans="1:10" x14ac:dyDescent="0.35">
      <c r="A220" s="1">
        <v>45099</v>
      </c>
      <c r="B220" t="s">
        <v>16</v>
      </c>
      <c r="C220" t="s">
        <v>11</v>
      </c>
      <c r="D220">
        <v>7004</v>
      </c>
      <c r="E220">
        <v>5973</v>
      </c>
      <c r="F220">
        <v>3802</v>
      </c>
      <c r="G220">
        <v>77</v>
      </c>
      <c r="H220">
        <v>41</v>
      </c>
      <c r="I220">
        <v>40.24</v>
      </c>
      <c r="J220">
        <v>2452</v>
      </c>
    </row>
    <row r="221" spans="1:10" x14ac:dyDescent="0.35">
      <c r="A221" s="1">
        <v>45099</v>
      </c>
      <c r="B221" t="s">
        <v>16</v>
      </c>
      <c r="C221" t="s">
        <v>12</v>
      </c>
      <c r="D221">
        <v>5910</v>
      </c>
      <c r="E221">
        <v>4554</v>
      </c>
      <c r="F221">
        <v>2157</v>
      </c>
      <c r="G221">
        <v>69</v>
      </c>
      <c r="H221">
        <v>97</v>
      </c>
      <c r="I221">
        <v>52.99</v>
      </c>
      <c r="J221">
        <v>2740</v>
      </c>
    </row>
    <row r="222" spans="1:10" x14ac:dyDescent="0.35">
      <c r="A222" s="1">
        <v>45100</v>
      </c>
      <c r="B222" t="s">
        <v>10</v>
      </c>
      <c r="C222" t="s">
        <v>11</v>
      </c>
      <c r="D222">
        <v>7360</v>
      </c>
      <c r="E222">
        <v>7197</v>
      </c>
      <c r="F222">
        <v>4740</v>
      </c>
      <c r="G222">
        <v>55</v>
      </c>
      <c r="H222">
        <v>64</v>
      </c>
      <c r="I222">
        <v>60.3</v>
      </c>
      <c r="J222">
        <v>2690</v>
      </c>
    </row>
    <row r="223" spans="1:10" x14ac:dyDescent="0.35">
      <c r="A223" s="1">
        <v>45100</v>
      </c>
      <c r="B223" t="s">
        <v>10</v>
      </c>
      <c r="C223" t="s">
        <v>12</v>
      </c>
      <c r="D223">
        <v>5615</v>
      </c>
      <c r="E223">
        <v>4157</v>
      </c>
      <c r="F223">
        <v>2406</v>
      </c>
      <c r="G223">
        <v>40</v>
      </c>
      <c r="H223">
        <v>45</v>
      </c>
      <c r="I223">
        <v>36.19</v>
      </c>
      <c r="J223">
        <v>1498</v>
      </c>
    </row>
    <row r="224" spans="1:10" x14ac:dyDescent="0.35">
      <c r="A224" s="1">
        <v>45100</v>
      </c>
      <c r="B224" t="s">
        <v>13</v>
      </c>
      <c r="C224" t="s">
        <v>11</v>
      </c>
      <c r="D224">
        <v>5076</v>
      </c>
      <c r="E224">
        <v>6795</v>
      </c>
      <c r="F224">
        <v>5760</v>
      </c>
      <c r="G224">
        <v>61</v>
      </c>
      <c r="H224">
        <v>39</v>
      </c>
      <c r="I224">
        <v>162.54</v>
      </c>
      <c r="J224">
        <v>3731</v>
      </c>
    </row>
    <row r="225" spans="1:10" x14ac:dyDescent="0.35">
      <c r="A225" s="1">
        <v>45100</v>
      </c>
      <c r="B225" t="s">
        <v>13</v>
      </c>
      <c r="C225" t="s">
        <v>12</v>
      </c>
      <c r="D225">
        <v>7684</v>
      </c>
      <c r="E225">
        <v>4064</v>
      </c>
      <c r="F225">
        <v>3097</v>
      </c>
      <c r="G225">
        <v>38</v>
      </c>
      <c r="H225">
        <v>33</v>
      </c>
      <c r="I225">
        <v>26.16</v>
      </c>
      <c r="J225">
        <v>1789</v>
      </c>
    </row>
    <row r="226" spans="1:10" x14ac:dyDescent="0.35">
      <c r="A226" s="1">
        <v>45100</v>
      </c>
      <c r="B226" t="s">
        <v>14</v>
      </c>
      <c r="C226" t="s">
        <v>11</v>
      </c>
      <c r="D226">
        <v>9454</v>
      </c>
      <c r="E226">
        <v>2745</v>
      </c>
      <c r="F226">
        <v>3605</v>
      </c>
      <c r="G226">
        <v>34</v>
      </c>
      <c r="H226">
        <v>48</v>
      </c>
      <c r="I226">
        <v>68.52</v>
      </c>
      <c r="J226">
        <v>2043</v>
      </c>
    </row>
    <row r="227" spans="1:10" x14ac:dyDescent="0.35">
      <c r="A227" s="1">
        <v>45100</v>
      </c>
      <c r="B227" t="s">
        <v>14</v>
      </c>
      <c r="C227" t="s">
        <v>12</v>
      </c>
      <c r="D227">
        <v>4970</v>
      </c>
      <c r="E227">
        <v>1874</v>
      </c>
      <c r="F227">
        <v>2055</v>
      </c>
      <c r="G227">
        <v>10</v>
      </c>
      <c r="H227">
        <v>31</v>
      </c>
      <c r="I227">
        <v>70.040000000000006</v>
      </c>
      <c r="J227">
        <v>3952</v>
      </c>
    </row>
    <row r="228" spans="1:10" x14ac:dyDescent="0.35">
      <c r="A228" s="1">
        <v>45100</v>
      </c>
      <c r="B228" t="s">
        <v>15</v>
      </c>
      <c r="C228" t="s">
        <v>11</v>
      </c>
      <c r="D228">
        <v>1698</v>
      </c>
      <c r="E228">
        <v>1095</v>
      </c>
      <c r="F228">
        <v>941</v>
      </c>
      <c r="G228">
        <v>18</v>
      </c>
      <c r="H228">
        <v>697</v>
      </c>
      <c r="I228">
        <v>82.56</v>
      </c>
      <c r="J228">
        <v>3366</v>
      </c>
    </row>
    <row r="229" spans="1:10" x14ac:dyDescent="0.35">
      <c r="A229" s="1">
        <v>45100</v>
      </c>
      <c r="B229" t="s">
        <v>15</v>
      </c>
      <c r="C229" t="s">
        <v>12</v>
      </c>
      <c r="D229">
        <v>2363</v>
      </c>
      <c r="E229">
        <v>1333</v>
      </c>
      <c r="F229">
        <v>1297</v>
      </c>
      <c r="G229">
        <v>18</v>
      </c>
      <c r="H229">
        <v>49</v>
      </c>
      <c r="I229">
        <v>78.12</v>
      </c>
      <c r="J229">
        <v>3572</v>
      </c>
    </row>
    <row r="230" spans="1:10" x14ac:dyDescent="0.35">
      <c r="A230" s="1">
        <v>45100</v>
      </c>
      <c r="B230" t="s">
        <v>16</v>
      </c>
      <c r="C230" t="s">
        <v>11</v>
      </c>
      <c r="D230">
        <v>7468</v>
      </c>
      <c r="E230">
        <v>3939</v>
      </c>
      <c r="F230">
        <v>4464</v>
      </c>
      <c r="G230">
        <v>27</v>
      </c>
      <c r="H230">
        <v>132</v>
      </c>
      <c r="I230">
        <v>125.81</v>
      </c>
      <c r="J230">
        <v>3201</v>
      </c>
    </row>
    <row r="231" spans="1:10" x14ac:dyDescent="0.35">
      <c r="A231" s="1">
        <v>45100</v>
      </c>
      <c r="B231" t="s">
        <v>16</v>
      </c>
      <c r="C231" t="s">
        <v>12</v>
      </c>
      <c r="D231">
        <v>7358</v>
      </c>
      <c r="E231">
        <v>5069</v>
      </c>
      <c r="F231">
        <v>3875</v>
      </c>
      <c r="G231">
        <v>31</v>
      </c>
      <c r="H231">
        <v>55</v>
      </c>
      <c r="I231">
        <v>41.29</v>
      </c>
      <c r="J231">
        <v>1385</v>
      </c>
    </row>
    <row r="232" spans="1:10" x14ac:dyDescent="0.35">
      <c r="A232" s="1">
        <v>45101</v>
      </c>
      <c r="B232" t="s">
        <v>10</v>
      </c>
      <c r="C232" t="s">
        <v>11</v>
      </c>
      <c r="D232">
        <v>7173</v>
      </c>
      <c r="E232">
        <v>3770</v>
      </c>
      <c r="F232">
        <v>5371</v>
      </c>
      <c r="G232">
        <v>32</v>
      </c>
      <c r="H232">
        <v>63</v>
      </c>
      <c r="I232">
        <v>106.38</v>
      </c>
      <c r="J232">
        <v>2481</v>
      </c>
    </row>
    <row r="233" spans="1:10" x14ac:dyDescent="0.35">
      <c r="A233" s="1">
        <v>45101</v>
      </c>
      <c r="B233" t="s">
        <v>10</v>
      </c>
      <c r="C233" t="s">
        <v>12</v>
      </c>
      <c r="D233">
        <v>6577</v>
      </c>
      <c r="E233">
        <v>5486</v>
      </c>
      <c r="F233">
        <v>3833</v>
      </c>
      <c r="G233">
        <v>45</v>
      </c>
      <c r="H233">
        <v>145</v>
      </c>
      <c r="I233">
        <v>178.71</v>
      </c>
      <c r="J233">
        <v>2656</v>
      </c>
    </row>
    <row r="234" spans="1:10" x14ac:dyDescent="0.35">
      <c r="A234" s="1">
        <v>45101</v>
      </c>
      <c r="B234" t="s">
        <v>13</v>
      </c>
      <c r="C234" t="s">
        <v>11</v>
      </c>
      <c r="D234">
        <v>8061</v>
      </c>
      <c r="E234">
        <v>3144</v>
      </c>
      <c r="F234">
        <v>2700</v>
      </c>
      <c r="G234">
        <v>50</v>
      </c>
      <c r="H234">
        <v>38</v>
      </c>
      <c r="I234">
        <v>102.86</v>
      </c>
      <c r="J234">
        <v>1803</v>
      </c>
    </row>
    <row r="235" spans="1:10" x14ac:dyDescent="0.35">
      <c r="A235" s="1">
        <v>45101</v>
      </c>
      <c r="B235" t="s">
        <v>13</v>
      </c>
      <c r="C235" t="s">
        <v>12</v>
      </c>
      <c r="D235">
        <v>5052</v>
      </c>
      <c r="E235">
        <v>4143</v>
      </c>
      <c r="F235">
        <v>1977</v>
      </c>
      <c r="G235">
        <v>59</v>
      </c>
      <c r="H235">
        <v>66</v>
      </c>
      <c r="I235">
        <v>40.380000000000003</v>
      </c>
      <c r="J235">
        <v>665</v>
      </c>
    </row>
    <row r="236" spans="1:10" x14ac:dyDescent="0.35">
      <c r="A236" s="1">
        <v>45101</v>
      </c>
      <c r="B236" t="s">
        <v>14</v>
      </c>
      <c r="C236" t="s">
        <v>11</v>
      </c>
      <c r="D236">
        <v>4787</v>
      </c>
      <c r="E236">
        <v>2341</v>
      </c>
      <c r="F236">
        <v>2356</v>
      </c>
      <c r="G236">
        <v>38</v>
      </c>
      <c r="H236">
        <v>36</v>
      </c>
      <c r="I236">
        <v>66.77</v>
      </c>
      <c r="J236">
        <v>1579</v>
      </c>
    </row>
    <row r="237" spans="1:10" x14ac:dyDescent="0.35">
      <c r="A237" s="1">
        <v>45101</v>
      </c>
      <c r="B237" t="s">
        <v>14</v>
      </c>
      <c r="C237" t="s">
        <v>12</v>
      </c>
      <c r="D237">
        <v>5314</v>
      </c>
      <c r="E237">
        <v>3139</v>
      </c>
      <c r="F237">
        <v>2814</v>
      </c>
      <c r="G237">
        <v>38</v>
      </c>
      <c r="H237">
        <v>39</v>
      </c>
      <c r="I237">
        <v>39.15</v>
      </c>
      <c r="J237">
        <v>1065</v>
      </c>
    </row>
    <row r="238" spans="1:10" x14ac:dyDescent="0.35">
      <c r="A238" s="1">
        <v>45101</v>
      </c>
      <c r="B238" t="s">
        <v>15</v>
      </c>
      <c r="C238" t="s">
        <v>11</v>
      </c>
      <c r="D238">
        <v>2259</v>
      </c>
      <c r="E238">
        <v>653</v>
      </c>
      <c r="F238">
        <v>1111</v>
      </c>
      <c r="G238">
        <v>41</v>
      </c>
      <c r="H238">
        <v>116</v>
      </c>
      <c r="I238">
        <v>35.14</v>
      </c>
      <c r="J238">
        <v>564</v>
      </c>
    </row>
    <row r="239" spans="1:10" x14ac:dyDescent="0.35">
      <c r="A239" s="1">
        <v>45101</v>
      </c>
      <c r="B239" t="s">
        <v>15</v>
      </c>
      <c r="C239" t="s">
        <v>12</v>
      </c>
      <c r="D239">
        <v>3476</v>
      </c>
      <c r="E239">
        <v>1614</v>
      </c>
      <c r="F239">
        <v>1501</v>
      </c>
      <c r="G239">
        <v>18</v>
      </c>
      <c r="H239">
        <v>90</v>
      </c>
      <c r="I239">
        <v>17.920000000000002</v>
      </c>
      <c r="J239">
        <v>522</v>
      </c>
    </row>
    <row r="240" spans="1:10" x14ac:dyDescent="0.35">
      <c r="A240" s="1">
        <v>45101</v>
      </c>
      <c r="B240" t="s">
        <v>16</v>
      </c>
      <c r="C240" t="s">
        <v>11</v>
      </c>
      <c r="D240">
        <v>9836</v>
      </c>
      <c r="E240">
        <v>6965</v>
      </c>
      <c r="F240">
        <v>3132</v>
      </c>
      <c r="G240">
        <v>47</v>
      </c>
      <c r="H240">
        <v>137</v>
      </c>
      <c r="I240">
        <v>94.96</v>
      </c>
      <c r="J240">
        <v>2040</v>
      </c>
    </row>
    <row r="241" spans="1:10" x14ac:dyDescent="0.35">
      <c r="A241" s="1">
        <v>45101</v>
      </c>
      <c r="B241" t="s">
        <v>16</v>
      </c>
      <c r="C241" t="s">
        <v>12</v>
      </c>
      <c r="D241">
        <v>2276</v>
      </c>
      <c r="E241">
        <v>641</v>
      </c>
      <c r="F241">
        <v>1354</v>
      </c>
      <c r="G241">
        <v>46</v>
      </c>
      <c r="H241">
        <v>106</v>
      </c>
      <c r="I241">
        <v>144.13999999999999</v>
      </c>
      <c r="J241">
        <v>552</v>
      </c>
    </row>
    <row r="242" spans="1:10" x14ac:dyDescent="0.35">
      <c r="A242" s="1">
        <v>45102</v>
      </c>
      <c r="B242" t="s">
        <v>10</v>
      </c>
      <c r="C242" t="s">
        <v>11</v>
      </c>
      <c r="D242">
        <v>15081</v>
      </c>
      <c r="E242">
        <v>4716</v>
      </c>
      <c r="F242">
        <v>4806</v>
      </c>
      <c r="G242">
        <v>62</v>
      </c>
      <c r="H242">
        <v>67</v>
      </c>
      <c r="I242">
        <v>53.39</v>
      </c>
      <c r="J242">
        <v>2544</v>
      </c>
    </row>
    <row r="243" spans="1:10" x14ac:dyDescent="0.35">
      <c r="A243" s="1">
        <v>45102</v>
      </c>
      <c r="B243" t="s">
        <v>10</v>
      </c>
      <c r="C243" t="s">
        <v>12</v>
      </c>
      <c r="D243">
        <v>3842</v>
      </c>
      <c r="E243">
        <v>1769</v>
      </c>
      <c r="F243">
        <v>1760</v>
      </c>
      <c r="G243">
        <v>22</v>
      </c>
      <c r="H243">
        <v>129</v>
      </c>
      <c r="I243">
        <v>81.790000000000006</v>
      </c>
      <c r="J243">
        <v>865</v>
      </c>
    </row>
    <row r="244" spans="1:10" x14ac:dyDescent="0.35">
      <c r="A244" s="1">
        <v>45102</v>
      </c>
      <c r="B244" t="s">
        <v>13</v>
      </c>
      <c r="C244" t="s">
        <v>11</v>
      </c>
      <c r="D244">
        <v>3460</v>
      </c>
      <c r="E244">
        <v>1315</v>
      </c>
      <c r="F244">
        <v>1468</v>
      </c>
      <c r="G244">
        <v>12</v>
      </c>
      <c r="H244">
        <v>111</v>
      </c>
      <c r="I244">
        <v>174.03</v>
      </c>
      <c r="J244">
        <v>987</v>
      </c>
    </row>
    <row r="245" spans="1:10" x14ac:dyDescent="0.35">
      <c r="A245" s="1">
        <v>45102</v>
      </c>
      <c r="B245" t="s">
        <v>13</v>
      </c>
      <c r="C245" t="s">
        <v>12</v>
      </c>
      <c r="D245">
        <v>7398</v>
      </c>
      <c r="E245">
        <v>3992</v>
      </c>
      <c r="F245">
        <v>2262</v>
      </c>
      <c r="G245">
        <v>42</v>
      </c>
      <c r="H245">
        <v>33</v>
      </c>
      <c r="I245">
        <v>46.3</v>
      </c>
      <c r="J245">
        <v>943</v>
      </c>
    </row>
    <row r="246" spans="1:10" x14ac:dyDescent="0.35">
      <c r="A246" s="1">
        <v>45102</v>
      </c>
      <c r="B246" t="s">
        <v>14</v>
      </c>
      <c r="C246" t="s">
        <v>11</v>
      </c>
      <c r="D246">
        <v>8455</v>
      </c>
      <c r="E246">
        <v>3339</v>
      </c>
      <c r="F246">
        <v>3148</v>
      </c>
      <c r="G246">
        <v>17</v>
      </c>
      <c r="H246">
        <v>33</v>
      </c>
      <c r="I246">
        <v>22.03</v>
      </c>
      <c r="J246">
        <v>2327</v>
      </c>
    </row>
    <row r="247" spans="1:10" x14ac:dyDescent="0.35">
      <c r="A247" s="1">
        <v>45102</v>
      </c>
      <c r="B247" t="s">
        <v>14</v>
      </c>
      <c r="C247" t="s">
        <v>12</v>
      </c>
      <c r="D247">
        <v>5462</v>
      </c>
      <c r="E247">
        <v>1742</v>
      </c>
      <c r="F247">
        <v>2383</v>
      </c>
      <c r="G247">
        <v>20</v>
      </c>
      <c r="H247">
        <v>30</v>
      </c>
      <c r="I247">
        <v>35.99</v>
      </c>
      <c r="J247">
        <v>1620</v>
      </c>
    </row>
    <row r="248" spans="1:10" x14ac:dyDescent="0.35">
      <c r="A248" s="1">
        <v>45102</v>
      </c>
      <c r="B248" t="s">
        <v>15</v>
      </c>
      <c r="C248" t="s">
        <v>11</v>
      </c>
      <c r="D248">
        <v>4121</v>
      </c>
      <c r="E248">
        <v>1952</v>
      </c>
      <c r="F248">
        <v>1825</v>
      </c>
      <c r="G248">
        <v>27</v>
      </c>
      <c r="H248">
        <v>85</v>
      </c>
      <c r="I248">
        <v>144.53</v>
      </c>
      <c r="J248">
        <v>856</v>
      </c>
    </row>
    <row r="249" spans="1:10" x14ac:dyDescent="0.35">
      <c r="A249" s="1">
        <v>45102</v>
      </c>
      <c r="B249" t="s">
        <v>15</v>
      </c>
      <c r="C249" t="s">
        <v>12</v>
      </c>
      <c r="D249">
        <v>3127</v>
      </c>
      <c r="E249">
        <v>1050</v>
      </c>
      <c r="F249">
        <v>1556</v>
      </c>
      <c r="G249">
        <v>44</v>
      </c>
      <c r="H249">
        <v>59</v>
      </c>
      <c r="I249">
        <v>57.02</v>
      </c>
      <c r="J249">
        <v>1127</v>
      </c>
    </row>
    <row r="250" spans="1:10" x14ac:dyDescent="0.35">
      <c r="A250" s="1">
        <v>45102</v>
      </c>
      <c r="B250" t="s">
        <v>16</v>
      </c>
      <c r="C250" t="s">
        <v>11</v>
      </c>
      <c r="D250">
        <v>7306</v>
      </c>
      <c r="E250">
        <v>6647</v>
      </c>
      <c r="F250">
        <v>3904</v>
      </c>
      <c r="G250">
        <v>53</v>
      </c>
      <c r="H250">
        <v>44</v>
      </c>
      <c r="I250">
        <v>162.69</v>
      </c>
      <c r="J250">
        <v>2621</v>
      </c>
    </row>
    <row r="251" spans="1:10" x14ac:dyDescent="0.35">
      <c r="A251" s="1">
        <v>45102</v>
      </c>
      <c r="B251" t="s">
        <v>16</v>
      </c>
      <c r="C251" t="s">
        <v>12</v>
      </c>
      <c r="D251">
        <v>3899</v>
      </c>
      <c r="E251">
        <v>3169</v>
      </c>
      <c r="F251">
        <v>1261</v>
      </c>
      <c r="G251">
        <v>58</v>
      </c>
      <c r="H251">
        <v>74</v>
      </c>
      <c r="I251">
        <v>127.24</v>
      </c>
      <c r="J251">
        <v>879</v>
      </c>
    </row>
    <row r="252" spans="1:10" x14ac:dyDescent="0.35">
      <c r="A252" s="1">
        <v>45103</v>
      </c>
      <c r="B252" t="s">
        <v>10</v>
      </c>
      <c r="C252" t="s">
        <v>11</v>
      </c>
      <c r="D252">
        <v>8946</v>
      </c>
      <c r="E252">
        <v>2391</v>
      </c>
      <c r="F252">
        <v>4452</v>
      </c>
      <c r="G252">
        <v>33</v>
      </c>
      <c r="H252">
        <v>104</v>
      </c>
      <c r="I252">
        <v>172.82</v>
      </c>
      <c r="J252">
        <v>2943</v>
      </c>
    </row>
    <row r="253" spans="1:10" x14ac:dyDescent="0.35">
      <c r="A253" s="1">
        <v>45103</v>
      </c>
      <c r="B253" t="s">
        <v>10</v>
      </c>
      <c r="C253" t="s">
        <v>12</v>
      </c>
      <c r="D253">
        <v>6852</v>
      </c>
      <c r="E253">
        <v>3556</v>
      </c>
      <c r="F253">
        <v>4094</v>
      </c>
      <c r="G253">
        <v>37</v>
      </c>
      <c r="H253">
        <v>76</v>
      </c>
      <c r="I253">
        <v>73.55</v>
      </c>
      <c r="J253">
        <v>3016</v>
      </c>
    </row>
    <row r="254" spans="1:10" x14ac:dyDescent="0.35">
      <c r="A254" s="1">
        <v>45103</v>
      </c>
      <c r="B254" t="s">
        <v>13</v>
      </c>
      <c r="C254" t="s">
        <v>11</v>
      </c>
      <c r="D254">
        <v>9409</v>
      </c>
      <c r="E254">
        <v>2924</v>
      </c>
      <c r="F254">
        <v>4980</v>
      </c>
      <c r="G254">
        <v>37</v>
      </c>
      <c r="H254">
        <v>54</v>
      </c>
      <c r="I254">
        <v>174.7</v>
      </c>
      <c r="J254">
        <v>2088</v>
      </c>
    </row>
    <row r="255" spans="1:10" x14ac:dyDescent="0.35">
      <c r="A255" s="1">
        <v>45103</v>
      </c>
      <c r="B255" t="s">
        <v>13</v>
      </c>
      <c r="C255" t="s">
        <v>12</v>
      </c>
      <c r="D255">
        <v>2498</v>
      </c>
      <c r="E255">
        <v>2007</v>
      </c>
      <c r="F255">
        <v>1481</v>
      </c>
      <c r="G255">
        <v>15</v>
      </c>
      <c r="H255">
        <v>77</v>
      </c>
      <c r="I255">
        <v>116.48</v>
      </c>
      <c r="J255">
        <v>889</v>
      </c>
    </row>
    <row r="256" spans="1:10" x14ac:dyDescent="0.35">
      <c r="A256" s="1">
        <v>45103</v>
      </c>
      <c r="B256" t="s">
        <v>14</v>
      </c>
      <c r="C256" t="s">
        <v>11</v>
      </c>
      <c r="D256">
        <v>8883</v>
      </c>
      <c r="E256">
        <v>2575</v>
      </c>
      <c r="F256">
        <v>3939</v>
      </c>
      <c r="G256">
        <v>42</v>
      </c>
      <c r="H256">
        <v>32</v>
      </c>
      <c r="I256">
        <v>63.32</v>
      </c>
      <c r="J256">
        <v>2770</v>
      </c>
    </row>
    <row r="257" spans="1:10" x14ac:dyDescent="0.35">
      <c r="A257" s="1">
        <v>45103</v>
      </c>
      <c r="B257" t="s">
        <v>14</v>
      </c>
      <c r="C257" t="s">
        <v>12</v>
      </c>
      <c r="D257">
        <v>4243</v>
      </c>
      <c r="E257">
        <v>1366</v>
      </c>
      <c r="F257">
        <v>2444</v>
      </c>
      <c r="G257">
        <v>15</v>
      </c>
      <c r="H257">
        <v>130</v>
      </c>
      <c r="I257">
        <v>36.14</v>
      </c>
      <c r="J257">
        <v>1306</v>
      </c>
    </row>
    <row r="258" spans="1:10" x14ac:dyDescent="0.35">
      <c r="A258" s="1">
        <v>45103</v>
      </c>
      <c r="B258" t="s">
        <v>15</v>
      </c>
      <c r="C258" t="s">
        <v>11</v>
      </c>
      <c r="D258">
        <v>5421</v>
      </c>
      <c r="E258">
        <v>1733</v>
      </c>
      <c r="F258">
        <v>1781</v>
      </c>
      <c r="G258">
        <v>21</v>
      </c>
      <c r="H258">
        <v>64</v>
      </c>
      <c r="I258">
        <v>170.61</v>
      </c>
      <c r="J258">
        <v>836</v>
      </c>
    </row>
    <row r="259" spans="1:10" x14ac:dyDescent="0.35">
      <c r="A259" s="1">
        <v>45103</v>
      </c>
      <c r="B259" t="s">
        <v>15</v>
      </c>
      <c r="C259" t="s">
        <v>12</v>
      </c>
      <c r="D259">
        <v>1492</v>
      </c>
      <c r="E259">
        <v>1355</v>
      </c>
      <c r="F259">
        <v>1012</v>
      </c>
      <c r="G259">
        <v>17</v>
      </c>
      <c r="H259">
        <v>536</v>
      </c>
      <c r="I259">
        <v>149.63</v>
      </c>
      <c r="J259">
        <v>205</v>
      </c>
    </row>
    <row r="260" spans="1:10" x14ac:dyDescent="0.35">
      <c r="A260" s="1">
        <v>45103</v>
      </c>
      <c r="B260" t="s">
        <v>16</v>
      </c>
      <c r="C260" t="s">
        <v>11</v>
      </c>
      <c r="D260">
        <v>3023</v>
      </c>
      <c r="E260">
        <v>2568</v>
      </c>
      <c r="F260">
        <v>1136</v>
      </c>
      <c r="G260">
        <v>40</v>
      </c>
      <c r="H260">
        <v>32</v>
      </c>
      <c r="I260">
        <v>138.44999999999999</v>
      </c>
      <c r="J260">
        <v>726</v>
      </c>
    </row>
    <row r="261" spans="1:10" x14ac:dyDescent="0.35">
      <c r="A261" s="1">
        <v>45103</v>
      </c>
      <c r="B261" t="s">
        <v>16</v>
      </c>
      <c r="C261" t="s">
        <v>12</v>
      </c>
      <c r="D261">
        <v>4552</v>
      </c>
      <c r="E261">
        <v>3637</v>
      </c>
      <c r="F261">
        <v>1608</v>
      </c>
      <c r="G261">
        <v>46</v>
      </c>
      <c r="H261">
        <v>48</v>
      </c>
      <c r="I261">
        <v>104.03</v>
      </c>
      <c r="J261">
        <v>877</v>
      </c>
    </row>
    <row r="262" spans="1:10" x14ac:dyDescent="0.35">
      <c r="A262" s="1">
        <v>45104</v>
      </c>
      <c r="B262" t="s">
        <v>10</v>
      </c>
      <c r="C262" t="s">
        <v>11</v>
      </c>
      <c r="D262">
        <v>7683</v>
      </c>
      <c r="E262">
        <v>2441</v>
      </c>
      <c r="F262">
        <v>2517</v>
      </c>
      <c r="G262">
        <v>32</v>
      </c>
      <c r="H262">
        <v>34</v>
      </c>
      <c r="I262">
        <v>71.489999999999995</v>
      </c>
      <c r="J262">
        <v>1848</v>
      </c>
    </row>
    <row r="263" spans="1:10" x14ac:dyDescent="0.35">
      <c r="A263" s="1">
        <v>45104</v>
      </c>
      <c r="B263" t="s">
        <v>10</v>
      </c>
      <c r="C263" t="s">
        <v>12</v>
      </c>
      <c r="D263">
        <v>9310</v>
      </c>
      <c r="E263">
        <v>5869</v>
      </c>
      <c r="F263">
        <v>4213</v>
      </c>
      <c r="G263">
        <v>70</v>
      </c>
      <c r="H263">
        <v>77</v>
      </c>
      <c r="I263">
        <v>159.1</v>
      </c>
      <c r="J263">
        <v>1828</v>
      </c>
    </row>
    <row r="264" spans="1:10" x14ac:dyDescent="0.35">
      <c r="A264" s="1">
        <v>45104</v>
      </c>
      <c r="B264" t="s">
        <v>13</v>
      </c>
      <c r="C264" t="s">
        <v>11</v>
      </c>
      <c r="D264">
        <v>8698</v>
      </c>
      <c r="E264">
        <v>6854</v>
      </c>
      <c r="F264">
        <v>3814</v>
      </c>
      <c r="G264">
        <v>47</v>
      </c>
      <c r="H264">
        <v>43</v>
      </c>
      <c r="I264">
        <v>160.44</v>
      </c>
      <c r="J264">
        <v>1160</v>
      </c>
    </row>
    <row r="265" spans="1:10" x14ac:dyDescent="0.35">
      <c r="A265" s="1">
        <v>45104</v>
      </c>
      <c r="B265" t="s">
        <v>13</v>
      </c>
      <c r="C265" t="s">
        <v>12</v>
      </c>
      <c r="D265">
        <v>4408</v>
      </c>
      <c r="E265">
        <v>1372</v>
      </c>
      <c r="F265">
        <v>2380</v>
      </c>
      <c r="G265">
        <v>13</v>
      </c>
      <c r="H265">
        <v>39</v>
      </c>
      <c r="I265">
        <v>149.49</v>
      </c>
      <c r="J265">
        <v>933</v>
      </c>
    </row>
    <row r="266" spans="1:10" x14ac:dyDescent="0.35">
      <c r="A266" s="1">
        <v>45104</v>
      </c>
      <c r="B266" t="s">
        <v>14</v>
      </c>
      <c r="C266" t="s">
        <v>11</v>
      </c>
      <c r="D266">
        <v>5425</v>
      </c>
      <c r="E266">
        <v>4288</v>
      </c>
      <c r="F266">
        <v>6114</v>
      </c>
      <c r="G266">
        <v>39</v>
      </c>
      <c r="H266">
        <v>113</v>
      </c>
      <c r="I266">
        <v>153.59</v>
      </c>
      <c r="J266">
        <v>3359</v>
      </c>
    </row>
    <row r="267" spans="1:10" x14ac:dyDescent="0.35">
      <c r="A267" s="1">
        <v>45104</v>
      </c>
      <c r="B267" t="s">
        <v>14</v>
      </c>
      <c r="C267" t="s">
        <v>12</v>
      </c>
      <c r="D267">
        <v>3233</v>
      </c>
      <c r="E267">
        <v>2512</v>
      </c>
      <c r="F267">
        <v>1899</v>
      </c>
      <c r="G267">
        <v>18</v>
      </c>
      <c r="H267">
        <v>137</v>
      </c>
      <c r="I267">
        <v>153.93</v>
      </c>
      <c r="J267">
        <v>884</v>
      </c>
    </row>
    <row r="268" spans="1:10" x14ac:dyDescent="0.35">
      <c r="A268" s="1">
        <v>45104</v>
      </c>
      <c r="B268" t="s">
        <v>15</v>
      </c>
      <c r="C268" t="s">
        <v>11</v>
      </c>
      <c r="D268">
        <v>3057</v>
      </c>
      <c r="E268">
        <v>2663</v>
      </c>
      <c r="F268">
        <v>1255</v>
      </c>
      <c r="G268">
        <v>44</v>
      </c>
      <c r="H268">
        <v>74</v>
      </c>
      <c r="I268">
        <v>50.84</v>
      </c>
      <c r="J268">
        <v>630</v>
      </c>
    </row>
    <row r="269" spans="1:10" x14ac:dyDescent="0.35">
      <c r="A269" s="1">
        <v>45104</v>
      </c>
      <c r="B269" t="s">
        <v>15</v>
      </c>
      <c r="C269" t="s">
        <v>12</v>
      </c>
      <c r="D269">
        <v>2464</v>
      </c>
      <c r="E269">
        <v>1286</v>
      </c>
      <c r="F269">
        <v>1253</v>
      </c>
      <c r="G269">
        <v>13</v>
      </c>
      <c r="H269">
        <v>709</v>
      </c>
      <c r="I269">
        <v>44.92</v>
      </c>
      <c r="J269">
        <v>378</v>
      </c>
    </row>
    <row r="270" spans="1:10" x14ac:dyDescent="0.35">
      <c r="A270" s="1">
        <v>45104</v>
      </c>
      <c r="B270" t="s">
        <v>16</v>
      </c>
      <c r="C270" t="s">
        <v>11</v>
      </c>
      <c r="D270">
        <v>6022</v>
      </c>
      <c r="E270">
        <v>1848</v>
      </c>
      <c r="F270">
        <v>2675</v>
      </c>
      <c r="G270">
        <v>22</v>
      </c>
      <c r="H270">
        <v>34</v>
      </c>
      <c r="I270">
        <v>52.2</v>
      </c>
      <c r="J270">
        <v>1576</v>
      </c>
    </row>
    <row r="271" spans="1:10" x14ac:dyDescent="0.35">
      <c r="A271" s="1">
        <v>45104</v>
      </c>
      <c r="B271" t="s">
        <v>16</v>
      </c>
      <c r="C271" t="s">
        <v>12</v>
      </c>
      <c r="D271">
        <v>4657</v>
      </c>
      <c r="E271">
        <v>2998</v>
      </c>
      <c r="F271">
        <v>2342</v>
      </c>
      <c r="G271">
        <v>36</v>
      </c>
      <c r="H271">
        <v>64</v>
      </c>
      <c r="I271">
        <v>68.150000000000006</v>
      </c>
      <c r="J271">
        <v>1551</v>
      </c>
    </row>
    <row r="272" spans="1:10" x14ac:dyDescent="0.35">
      <c r="A272" s="1">
        <v>45105</v>
      </c>
      <c r="B272" t="s">
        <v>10</v>
      </c>
      <c r="C272" t="s">
        <v>11</v>
      </c>
      <c r="D272">
        <v>7551</v>
      </c>
      <c r="E272">
        <v>2230</v>
      </c>
      <c r="F272">
        <v>3022</v>
      </c>
      <c r="G272">
        <v>13</v>
      </c>
      <c r="H272">
        <v>82</v>
      </c>
      <c r="I272">
        <v>100.35</v>
      </c>
      <c r="J272">
        <v>1974</v>
      </c>
    </row>
    <row r="273" spans="1:10" x14ac:dyDescent="0.35">
      <c r="A273" s="1">
        <v>45105</v>
      </c>
      <c r="B273" t="s">
        <v>10</v>
      </c>
      <c r="C273" t="s">
        <v>12</v>
      </c>
      <c r="D273">
        <v>8174</v>
      </c>
      <c r="E273">
        <v>4159</v>
      </c>
      <c r="F273">
        <v>4256</v>
      </c>
      <c r="G273">
        <v>27</v>
      </c>
      <c r="H273">
        <v>127</v>
      </c>
      <c r="I273">
        <v>113.71</v>
      </c>
      <c r="J273">
        <v>1728</v>
      </c>
    </row>
    <row r="274" spans="1:10" x14ac:dyDescent="0.35">
      <c r="A274" s="1">
        <v>45105</v>
      </c>
      <c r="B274" t="s">
        <v>13</v>
      </c>
      <c r="C274" t="s">
        <v>11</v>
      </c>
      <c r="D274">
        <v>9601</v>
      </c>
      <c r="E274">
        <v>7603</v>
      </c>
      <c r="F274">
        <v>3743</v>
      </c>
      <c r="G274">
        <v>103</v>
      </c>
      <c r="H274">
        <v>30</v>
      </c>
      <c r="I274">
        <v>144.63</v>
      </c>
      <c r="J274">
        <v>1415</v>
      </c>
    </row>
    <row r="275" spans="1:10" x14ac:dyDescent="0.35">
      <c r="A275" s="1">
        <v>45105</v>
      </c>
      <c r="B275" t="s">
        <v>13</v>
      </c>
      <c r="C275" t="s">
        <v>12</v>
      </c>
      <c r="D275">
        <v>2804</v>
      </c>
      <c r="E275">
        <v>2057</v>
      </c>
      <c r="F275">
        <v>1470</v>
      </c>
      <c r="G275">
        <v>34</v>
      </c>
      <c r="H275">
        <v>34</v>
      </c>
      <c r="I275">
        <v>45.44</v>
      </c>
      <c r="J275">
        <v>930</v>
      </c>
    </row>
    <row r="276" spans="1:10" x14ac:dyDescent="0.35">
      <c r="A276" s="1">
        <v>45105</v>
      </c>
      <c r="B276" t="s">
        <v>14</v>
      </c>
      <c r="C276" t="s">
        <v>11</v>
      </c>
      <c r="D276">
        <v>2330</v>
      </c>
      <c r="E276">
        <v>2711</v>
      </c>
      <c r="F276">
        <v>5779</v>
      </c>
      <c r="G276">
        <v>74</v>
      </c>
      <c r="H276">
        <v>36</v>
      </c>
      <c r="I276">
        <v>100.48</v>
      </c>
      <c r="J276">
        <v>3257</v>
      </c>
    </row>
    <row r="277" spans="1:10" x14ac:dyDescent="0.35">
      <c r="A277" s="1">
        <v>45105</v>
      </c>
      <c r="B277" t="s">
        <v>14</v>
      </c>
      <c r="C277" t="s">
        <v>12</v>
      </c>
      <c r="D277">
        <v>2760</v>
      </c>
      <c r="E277">
        <v>2217</v>
      </c>
      <c r="F277">
        <v>1534</v>
      </c>
      <c r="G277">
        <v>12</v>
      </c>
      <c r="H277">
        <v>34</v>
      </c>
      <c r="I277">
        <v>45.71</v>
      </c>
      <c r="J277">
        <v>616</v>
      </c>
    </row>
    <row r="278" spans="1:10" x14ac:dyDescent="0.35">
      <c r="A278" s="1">
        <v>45105</v>
      </c>
      <c r="B278" t="s">
        <v>15</v>
      </c>
      <c r="C278" t="s">
        <v>11</v>
      </c>
      <c r="D278">
        <v>2129</v>
      </c>
      <c r="E278">
        <v>1178</v>
      </c>
      <c r="F278">
        <v>1089</v>
      </c>
      <c r="G278">
        <v>19</v>
      </c>
      <c r="H278">
        <v>65</v>
      </c>
      <c r="I278">
        <v>96.92</v>
      </c>
      <c r="J278">
        <v>636</v>
      </c>
    </row>
    <row r="279" spans="1:10" x14ac:dyDescent="0.35">
      <c r="A279" s="1">
        <v>45105</v>
      </c>
      <c r="B279" t="s">
        <v>15</v>
      </c>
      <c r="C279" t="s">
        <v>12</v>
      </c>
      <c r="D279">
        <v>3586</v>
      </c>
      <c r="E279">
        <v>2875</v>
      </c>
      <c r="F279">
        <v>1137</v>
      </c>
      <c r="G279">
        <v>15</v>
      </c>
      <c r="H279">
        <v>787</v>
      </c>
      <c r="I279">
        <v>138.97999999999999</v>
      </c>
      <c r="J279">
        <v>456</v>
      </c>
    </row>
    <row r="280" spans="1:10" x14ac:dyDescent="0.35">
      <c r="A280" s="1">
        <v>45105</v>
      </c>
      <c r="B280" t="s">
        <v>16</v>
      </c>
      <c r="C280" t="s">
        <v>11</v>
      </c>
      <c r="D280">
        <v>11385</v>
      </c>
      <c r="E280">
        <v>6602</v>
      </c>
      <c r="F280">
        <v>4381</v>
      </c>
      <c r="G280">
        <v>34</v>
      </c>
      <c r="H280">
        <v>50</v>
      </c>
      <c r="I280">
        <v>55.75</v>
      </c>
      <c r="J280">
        <v>1402</v>
      </c>
    </row>
    <row r="281" spans="1:10" x14ac:dyDescent="0.35">
      <c r="A281" s="1">
        <v>45105</v>
      </c>
      <c r="B281" t="s">
        <v>16</v>
      </c>
      <c r="C281" t="s">
        <v>12</v>
      </c>
      <c r="D281">
        <v>3316</v>
      </c>
      <c r="E281">
        <v>2675</v>
      </c>
      <c r="F281">
        <v>1364</v>
      </c>
      <c r="G281">
        <v>44</v>
      </c>
      <c r="H281">
        <v>68</v>
      </c>
      <c r="I281">
        <v>25.79</v>
      </c>
      <c r="J281">
        <v>673</v>
      </c>
    </row>
    <row r="282" spans="1:10" x14ac:dyDescent="0.35">
      <c r="A282" s="1">
        <v>45106</v>
      </c>
      <c r="B282" t="s">
        <v>10</v>
      </c>
      <c r="C282" t="s">
        <v>11</v>
      </c>
      <c r="D282">
        <v>3212</v>
      </c>
      <c r="E282">
        <v>4702</v>
      </c>
      <c r="F282">
        <v>8363</v>
      </c>
      <c r="G282">
        <v>81</v>
      </c>
      <c r="H282">
        <v>50</v>
      </c>
      <c r="I282">
        <v>82.83</v>
      </c>
      <c r="J282">
        <v>4624</v>
      </c>
    </row>
    <row r="283" spans="1:10" x14ac:dyDescent="0.35">
      <c r="A283" s="1">
        <v>45106</v>
      </c>
      <c r="B283" t="s">
        <v>10</v>
      </c>
      <c r="C283" t="s">
        <v>12</v>
      </c>
      <c r="D283">
        <v>3800</v>
      </c>
      <c r="E283">
        <v>3700</v>
      </c>
      <c r="F283">
        <v>4891</v>
      </c>
      <c r="G283">
        <v>46</v>
      </c>
      <c r="H283">
        <v>36</v>
      </c>
      <c r="I283">
        <v>79.92</v>
      </c>
      <c r="J283">
        <v>3588</v>
      </c>
    </row>
    <row r="284" spans="1:10" x14ac:dyDescent="0.35">
      <c r="A284" s="1">
        <v>45106</v>
      </c>
      <c r="B284" t="s">
        <v>13</v>
      </c>
      <c r="C284" t="s">
        <v>11</v>
      </c>
      <c r="D284">
        <v>5157</v>
      </c>
      <c r="E284">
        <v>5500</v>
      </c>
      <c r="F284">
        <v>5274</v>
      </c>
      <c r="G284">
        <v>44</v>
      </c>
      <c r="H284">
        <v>138</v>
      </c>
      <c r="I284">
        <v>134.65</v>
      </c>
      <c r="J284">
        <v>3911</v>
      </c>
    </row>
    <row r="285" spans="1:10" x14ac:dyDescent="0.35">
      <c r="A285" s="1">
        <v>45106</v>
      </c>
      <c r="B285" t="s">
        <v>13</v>
      </c>
      <c r="C285" t="s">
        <v>12</v>
      </c>
      <c r="D285">
        <v>5240</v>
      </c>
      <c r="E285">
        <v>3390</v>
      </c>
      <c r="F285">
        <v>3100</v>
      </c>
      <c r="G285">
        <v>35</v>
      </c>
      <c r="H285">
        <v>104</v>
      </c>
      <c r="I285">
        <v>39.96</v>
      </c>
      <c r="J285">
        <v>1779</v>
      </c>
    </row>
    <row r="286" spans="1:10" x14ac:dyDescent="0.35">
      <c r="A286" s="1">
        <v>45106</v>
      </c>
      <c r="B286" t="s">
        <v>14</v>
      </c>
      <c r="C286" t="s">
        <v>11</v>
      </c>
      <c r="D286">
        <v>7725</v>
      </c>
      <c r="E286">
        <v>4178</v>
      </c>
      <c r="F286">
        <v>3902</v>
      </c>
      <c r="G286">
        <v>25</v>
      </c>
      <c r="H286">
        <v>96</v>
      </c>
      <c r="I286">
        <v>156.91999999999999</v>
      </c>
      <c r="J286">
        <v>2128</v>
      </c>
    </row>
    <row r="287" spans="1:10" x14ac:dyDescent="0.35">
      <c r="A287" s="1">
        <v>45106</v>
      </c>
      <c r="B287" t="s">
        <v>14</v>
      </c>
      <c r="C287" t="s">
        <v>12</v>
      </c>
      <c r="D287">
        <v>4839</v>
      </c>
      <c r="E287">
        <v>3051</v>
      </c>
      <c r="F287">
        <v>2248</v>
      </c>
      <c r="G287">
        <v>43</v>
      </c>
      <c r="H287">
        <v>79</v>
      </c>
      <c r="I287">
        <v>94.97</v>
      </c>
      <c r="J287">
        <v>1295</v>
      </c>
    </row>
    <row r="288" spans="1:10" x14ac:dyDescent="0.35">
      <c r="A288" s="1">
        <v>45106</v>
      </c>
      <c r="B288" t="s">
        <v>15</v>
      </c>
      <c r="C288" t="s">
        <v>11</v>
      </c>
      <c r="D288">
        <v>5442</v>
      </c>
      <c r="E288">
        <v>1858</v>
      </c>
      <c r="F288">
        <v>1985</v>
      </c>
      <c r="G288">
        <v>24</v>
      </c>
      <c r="H288">
        <v>67</v>
      </c>
      <c r="I288">
        <v>138.63</v>
      </c>
      <c r="J288">
        <v>683</v>
      </c>
    </row>
    <row r="289" spans="1:10" x14ac:dyDescent="0.35">
      <c r="A289" s="1">
        <v>45106</v>
      </c>
      <c r="B289" t="s">
        <v>15</v>
      </c>
      <c r="C289" t="s">
        <v>12</v>
      </c>
      <c r="D289">
        <v>3575</v>
      </c>
      <c r="E289">
        <v>1018</v>
      </c>
      <c r="F289">
        <v>1937</v>
      </c>
      <c r="G289">
        <v>11</v>
      </c>
      <c r="H289">
        <v>84</v>
      </c>
      <c r="I289">
        <v>97.05</v>
      </c>
      <c r="J289">
        <v>982</v>
      </c>
    </row>
    <row r="290" spans="1:10" x14ac:dyDescent="0.35">
      <c r="A290" s="1">
        <v>45106</v>
      </c>
      <c r="B290" t="s">
        <v>16</v>
      </c>
      <c r="C290" t="s">
        <v>11</v>
      </c>
      <c r="D290">
        <v>9163</v>
      </c>
      <c r="E290">
        <v>3905</v>
      </c>
      <c r="F290">
        <v>3656</v>
      </c>
      <c r="G290">
        <v>27</v>
      </c>
      <c r="H290">
        <v>57</v>
      </c>
      <c r="I290">
        <v>35.83</v>
      </c>
      <c r="J290">
        <v>2342</v>
      </c>
    </row>
    <row r="291" spans="1:10" x14ac:dyDescent="0.35">
      <c r="A291" s="1">
        <v>45106</v>
      </c>
      <c r="B291" t="s">
        <v>16</v>
      </c>
      <c r="C291" t="s">
        <v>12</v>
      </c>
      <c r="D291">
        <v>7766</v>
      </c>
      <c r="E291">
        <v>6781</v>
      </c>
      <c r="F291">
        <v>2886</v>
      </c>
      <c r="G291">
        <v>103</v>
      </c>
      <c r="H291">
        <v>50</v>
      </c>
      <c r="I291">
        <v>107.07</v>
      </c>
      <c r="J291">
        <v>1452</v>
      </c>
    </row>
    <row r="292" spans="1:10" x14ac:dyDescent="0.35">
      <c r="A292" s="1">
        <v>45107</v>
      </c>
      <c r="B292" t="s">
        <v>10</v>
      </c>
      <c r="C292" t="s">
        <v>11</v>
      </c>
      <c r="D292">
        <v>6402</v>
      </c>
      <c r="E292">
        <v>1836</v>
      </c>
      <c r="F292">
        <v>3667</v>
      </c>
      <c r="G292">
        <v>19</v>
      </c>
      <c r="H292">
        <v>65</v>
      </c>
      <c r="I292">
        <v>76.37</v>
      </c>
      <c r="J292">
        <v>1989</v>
      </c>
    </row>
    <row r="293" spans="1:10" x14ac:dyDescent="0.35">
      <c r="A293" s="1">
        <v>45107</v>
      </c>
      <c r="B293" t="s">
        <v>10</v>
      </c>
      <c r="C293" t="s">
        <v>12</v>
      </c>
      <c r="D293">
        <v>9004</v>
      </c>
      <c r="E293">
        <v>7490</v>
      </c>
      <c r="F293">
        <v>4796</v>
      </c>
      <c r="G293">
        <v>71</v>
      </c>
      <c r="H293">
        <v>104</v>
      </c>
      <c r="I293">
        <v>30.52</v>
      </c>
      <c r="J293">
        <v>3520</v>
      </c>
    </row>
    <row r="294" spans="1:10" x14ac:dyDescent="0.35">
      <c r="A294" s="1">
        <v>45107</v>
      </c>
      <c r="B294" t="s">
        <v>13</v>
      </c>
      <c r="C294" t="s">
        <v>11</v>
      </c>
      <c r="D294">
        <v>4533</v>
      </c>
      <c r="E294">
        <v>3676</v>
      </c>
      <c r="F294">
        <v>2223</v>
      </c>
      <c r="G294">
        <v>43</v>
      </c>
      <c r="H294">
        <v>40</v>
      </c>
      <c r="I294">
        <v>102.95</v>
      </c>
      <c r="J294">
        <v>1465</v>
      </c>
    </row>
    <row r="295" spans="1:10" x14ac:dyDescent="0.35">
      <c r="A295" s="1">
        <v>45107</v>
      </c>
      <c r="B295" t="s">
        <v>13</v>
      </c>
      <c r="C295" t="s">
        <v>12</v>
      </c>
      <c r="D295">
        <v>7956</v>
      </c>
      <c r="E295">
        <v>4473</v>
      </c>
      <c r="F295">
        <v>2783</v>
      </c>
      <c r="G295">
        <v>51</v>
      </c>
      <c r="H295">
        <v>31</v>
      </c>
      <c r="I295">
        <v>60.69</v>
      </c>
      <c r="J295">
        <v>1603</v>
      </c>
    </row>
    <row r="296" spans="1:10" x14ac:dyDescent="0.35">
      <c r="A296" s="1">
        <v>45107</v>
      </c>
      <c r="B296" t="s">
        <v>14</v>
      </c>
      <c r="C296" t="s">
        <v>11</v>
      </c>
      <c r="D296">
        <v>5481</v>
      </c>
      <c r="E296">
        <v>3316</v>
      </c>
      <c r="F296">
        <v>1699</v>
      </c>
      <c r="G296">
        <v>40</v>
      </c>
      <c r="H296">
        <v>33</v>
      </c>
      <c r="I296">
        <v>40.1</v>
      </c>
      <c r="J296">
        <v>788</v>
      </c>
    </row>
    <row r="297" spans="1:10" x14ac:dyDescent="0.35">
      <c r="A297" s="1">
        <v>45107</v>
      </c>
      <c r="B297" t="s">
        <v>14</v>
      </c>
      <c r="C297" t="s">
        <v>12</v>
      </c>
      <c r="D297">
        <v>3923</v>
      </c>
      <c r="E297">
        <v>2382</v>
      </c>
      <c r="F297">
        <v>1628</v>
      </c>
      <c r="G297">
        <v>39</v>
      </c>
      <c r="H297">
        <v>38</v>
      </c>
      <c r="I297">
        <v>174.58</v>
      </c>
      <c r="J297">
        <v>575</v>
      </c>
    </row>
    <row r="298" spans="1:10" x14ac:dyDescent="0.35">
      <c r="A298" s="1">
        <v>45107</v>
      </c>
      <c r="B298" t="s">
        <v>15</v>
      </c>
      <c r="C298" t="s">
        <v>11</v>
      </c>
      <c r="D298">
        <v>4130</v>
      </c>
      <c r="E298">
        <v>2434</v>
      </c>
      <c r="F298">
        <v>2137</v>
      </c>
      <c r="G298">
        <v>16</v>
      </c>
      <c r="H298">
        <v>97</v>
      </c>
      <c r="I298">
        <v>123.26</v>
      </c>
      <c r="J298">
        <v>952</v>
      </c>
    </row>
    <row r="299" spans="1:10" x14ac:dyDescent="0.35">
      <c r="A299" s="1">
        <v>45107</v>
      </c>
      <c r="B299" t="s">
        <v>15</v>
      </c>
      <c r="C299" t="s">
        <v>12</v>
      </c>
      <c r="D299">
        <v>1742</v>
      </c>
      <c r="E299">
        <v>1434</v>
      </c>
      <c r="F299">
        <v>1140</v>
      </c>
      <c r="G299">
        <v>58</v>
      </c>
      <c r="H299">
        <v>829</v>
      </c>
      <c r="I299">
        <v>77.540000000000006</v>
      </c>
      <c r="J299">
        <v>498</v>
      </c>
    </row>
    <row r="300" spans="1:10" x14ac:dyDescent="0.35">
      <c r="A300" s="1">
        <v>45107</v>
      </c>
      <c r="B300" t="s">
        <v>16</v>
      </c>
      <c r="C300" t="s">
        <v>11</v>
      </c>
      <c r="D300">
        <v>3136</v>
      </c>
      <c r="E300">
        <v>1175</v>
      </c>
      <c r="F300">
        <v>1711</v>
      </c>
      <c r="G300">
        <v>18</v>
      </c>
      <c r="H300">
        <v>57</v>
      </c>
      <c r="I300">
        <v>92.74</v>
      </c>
      <c r="J300">
        <v>930</v>
      </c>
    </row>
    <row r="301" spans="1:10" x14ac:dyDescent="0.35">
      <c r="A301" s="1">
        <v>45107</v>
      </c>
      <c r="B301" t="s">
        <v>16</v>
      </c>
      <c r="C301" t="s">
        <v>12</v>
      </c>
      <c r="D301">
        <v>3196</v>
      </c>
      <c r="E301">
        <v>2267</v>
      </c>
      <c r="F301">
        <v>1203</v>
      </c>
      <c r="G301">
        <v>20</v>
      </c>
      <c r="H301">
        <v>31</v>
      </c>
      <c r="I301">
        <v>43.67</v>
      </c>
      <c r="J301">
        <v>804</v>
      </c>
    </row>
    <row r="302" spans="1:10" x14ac:dyDescent="0.35">
      <c r="A302" s="1">
        <v>45108</v>
      </c>
      <c r="B302" t="s">
        <v>10</v>
      </c>
      <c r="C302" t="s">
        <v>11</v>
      </c>
      <c r="D302">
        <v>7513</v>
      </c>
      <c r="E302">
        <v>2414</v>
      </c>
      <c r="F302">
        <v>3875</v>
      </c>
      <c r="G302">
        <v>14</v>
      </c>
      <c r="H302">
        <v>73</v>
      </c>
      <c r="I302">
        <v>89.31</v>
      </c>
      <c r="J302">
        <v>1895</v>
      </c>
    </row>
    <row r="303" spans="1:10" x14ac:dyDescent="0.35">
      <c r="A303" s="1">
        <v>45108</v>
      </c>
      <c r="B303" t="s">
        <v>10</v>
      </c>
      <c r="C303" t="s">
        <v>12</v>
      </c>
      <c r="D303">
        <v>6260</v>
      </c>
      <c r="E303">
        <v>4268</v>
      </c>
      <c r="F303">
        <v>2962</v>
      </c>
      <c r="G303">
        <v>43</v>
      </c>
      <c r="H303">
        <v>54</v>
      </c>
      <c r="I303">
        <v>176.55</v>
      </c>
      <c r="J303">
        <v>1872</v>
      </c>
    </row>
    <row r="304" spans="1:10" x14ac:dyDescent="0.35">
      <c r="A304" s="1">
        <v>45108</v>
      </c>
      <c r="B304" t="s">
        <v>13</v>
      </c>
      <c r="C304" t="s">
        <v>11</v>
      </c>
      <c r="D304">
        <v>8473</v>
      </c>
      <c r="E304">
        <v>2223</v>
      </c>
      <c r="F304">
        <v>2812</v>
      </c>
      <c r="G304">
        <v>30</v>
      </c>
      <c r="H304">
        <v>88</v>
      </c>
      <c r="I304">
        <v>43.86</v>
      </c>
      <c r="J304">
        <v>1242</v>
      </c>
    </row>
    <row r="305" spans="1:10" x14ac:dyDescent="0.35">
      <c r="A305" s="1">
        <v>45108</v>
      </c>
      <c r="B305" t="s">
        <v>13</v>
      </c>
      <c r="C305" t="s">
        <v>12</v>
      </c>
      <c r="D305">
        <v>4538</v>
      </c>
      <c r="E305">
        <v>3229</v>
      </c>
      <c r="F305">
        <v>1460</v>
      </c>
      <c r="G305">
        <v>53</v>
      </c>
      <c r="H305">
        <v>820</v>
      </c>
      <c r="I305">
        <v>65.38</v>
      </c>
      <c r="J305">
        <v>489</v>
      </c>
    </row>
    <row r="306" spans="1:10" x14ac:dyDescent="0.35">
      <c r="A306" s="1">
        <v>45108</v>
      </c>
      <c r="B306" t="s">
        <v>14</v>
      </c>
      <c r="C306" t="s">
        <v>11</v>
      </c>
      <c r="D306">
        <v>7415</v>
      </c>
      <c r="E306">
        <v>2145</v>
      </c>
      <c r="F306">
        <v>3133</v>
      </c>
      <c r="G306">
        <v>30</v>
      </c>
      <c r="H306">
        <v>83</v>
      </c>
      <c r="I306">
        <v>148.22</v>
      </c>
      <c r="J306">
        <v>2010</v>
      </c>
    </row>
    <row r="307" spans="1:10" x14ac:dyDescent="0.35">
      <c r="A307" s="1">
        <v>45108</v>
      </c>
      <c r="B307" t="s">
        <v>14</v>
      </c>
      <c r="C307" t="s">
        <v>12</v>
      </c>
      <c r="D307">
        <v>2715</v>
      </c>
      <c r="E307">
        <v>1951</v>
      </c>
      <c r="F307">
        <v>1553</v>
      </c>
      <c r="G307">
        <v>16</v>
      </c>
      <c r="H307">
        <v>76</v>
      </c>
      <c r="I307">
        <v>79.31</v>
      </c>
      <c r="J307">
        <v>935</v>
      </c>
    </row>
    <row r="308" spans="1:10" x14ac:dyDescent="0.35">
      <c r="A308" s="1">
        <v>45108</v>
      </c>
      <c r="B308" t="s">
        <v>15</v>
      </c>
      <c r="C308" t="s">
        <v>11</v>
      </c>
      <c r="D308">
        <v>3510</v>
      </c>
      <c r="E308">
        <v>2006</v>
      </c>
      <c r="F308">
        <v>1629</v>
      </c>
      <c r="G308">
        <v>30</v>
      </c>
      <c r="H308">
        <v>130</v>
      </c>
      <c r="I308">
        <v>94.05</v>
      </c>
      <c r="J308">
        <v>767</v>
      </c>
    </row>
    <row r="309" spans="1:10" x14ac:dyDescent="0.35">
      <c r="A309" s="1">
        <v>45108</v>
      </c>
      <c r="B309" t="s">
        <v>15</v>
      </c>
      <c r="C309" t="s">
        <v>12</v>
      </c>
      <c r="D309">
        <v>3019</v>
      </c>
      <c r="E309">
        <v>816</v>
      </c>
      <c r="F309">
        <v>1737</v>
      </c>
      <c r="G309">
        <v>11</v>
      </c>
      <c r="H309">
        <v>73</v>
      </c>
      <c r="I309">
        <v>175.51</v>
      </c>
      <c r="J309">
        <v>740</v>
      </c>
    </row>
    <row r="310" spans="1:10" x14ac:dyDescent="0.35">
      <c r="A310" s="1">
        <v>45108</v>
      </c>
      <c r="B310" t="s">
        <v>16</v>
      </c>
      <c r="C310" t="s">
        <v>11</v>
      </c>
      <c r="D310">
        <v>4768</v>
      </c>
      <c r="E310">
        <v>3732</v>
      </c>
      <c r="F310">
        <v>1456</v>
      </c>
      <c r="G310">
        <v>54</v>
      </c>
      <c r="H310">
        <v>42</v>
      </c>
      <c r="I310">
        <v>118.66</v>
      </c>
      <c r="J310">
        <v>1068</v>
      </c>
    </row>
    <row r="311" spans="1:10" x14ac:dyDescent="0.35">
      <c r="A311" s="1">
        <v>45108</v>
      </c>
      <c r="B311" t="s">
        <v>16</v>
      </c>
      <c r="C311" t="s">
        <v>12</v>
      </c>
      <c r="D311">
        <v>7168</v>
      </c>
      <c r="E311">
        <v>3173</v>
      </c>
      <c r="F311">
        <v>2392</v>
      </c>
      <c r="G311">
        <v>48</v>
      </c>
      <c r="H311">
        <v>31</v>
      </c>
      <c r="I311">
        <v>22.61</v>
      </c>
      <c r="J311">
        <v>1475</v>
      </c>
    </row>
    <row r="312" spans="1:10" x14ac:dyDescent="0.35">
      <c r="A312" s="1">
        <v>45109</v>
      </c>
      <c r="B312" t="s">
        <v>10</v>
      </c>
      <c r="C312" t="s">
        <v>11</v>
      </c>
      <c r="D312">
        <v>10634</v>
      </c>
      <c r="E312">
        <v>6141</v>
      </c>
      <c r="F312">
        <v>5099</v>
      </c>
      <c r="G312">
        <v>52</v>
      </c>
      <c r="H312">
        <v>58</v>
      </c>
      <c r="I312">
        <v>113.8</v>
      </c>
      <c r="J312">
        <v>2212</v>
      </c>
    </row>
    <row r="313" spans="1:10" x14ac:dyDescent="0.35">
      <c r="A313" s="1">
        <v>45109</v>
      </c>
      <c r="B313" t="s">
        <v>10</v>
      </c>
      <c r="C313" t="s">
        <v>12</v>
      </c>
      <c r="D313">
        <v>7955</v>
      </c>
      <c r="E313">
        <v>6934</v>
      </c>
      <c r="F313">
        <v>3175</v>
      </c>
      <c r="G313">
        <v>106</v>
      </c>
      <c r="H313">
        <v>42</v>
      </c>
      <c r="I313">
        <v>28.03</v>
      </c>
      <c r="J313">
        <v>1439</v>
      </c>
    </row>
    <row r="314" spans="1:10" x14ac:dyDescent="0.35">
      <c r="A314" s="1">
        <v>45109</v>
      </c>
      <c r="B314" t="s">
        <v>13</v>
      </c>
      <c r="C314" t="s">
        <v>11</v>
      </c>
      <c r="D314">
        <v>4514</v>
      </c>
      <c r="E314">
        <v>3807</v>
      </c>
      <c r="F314">
        <v>1935</v>
      </c>
      <c r="G314">
        <v>32</v>
      </c>
      <c r="H314">
        <v>42</v>
      </c>
      <c r="I314">
        <v>123.71</v>
      </c>
      <c r="J314">
        <v>814</v>
      </c>
    </row>
    <row r="315" spans="1:10" x14ac:dyDescent="0.35">
      <c r="A315" s="1">
        <v>45109</v>
      </c>
      <c r="B315" t="s">
        <v>13</v>
      </c>
      <c r="C315" t="s">
        <v>12</v>
      </c>
      <c r="D315">
        <v>7446</v>
      </c>
      <c r="E315">
        <v>6244</v>
      </c>
      <c r="F315">
        <v>2490</v>
      </c>
      <c r="G315">
        <v>75</v>
      </c>
      <c r="H315">
        <v>34</v>
      </c>
      <c r="I315">
        <v>158.31</v>
      </c>
      <c r="J315">
        <v>852</v>
      </c>
    </row>
    <row r="316" spans="1:10" x14ac:dyDescent="0.35">
      <c r="A316" s="1">
        <v>45109</v>
      </c>
      <c r="B316" t="s">
        <v>14</v>
      </c>
      <c r="C316" t="s">
        <v>11</v>
      </c>
      <c r="D316">
        <v>5746</v>
      </c>
      <c r="E316">
        <v>5016</v>
      </c>
      <c r="F316">
        <v>2616</v>
      </c>
      <c r="G316">
        <v>58</v>
      </c>
      <c r="H316">
        <v>105</v>
      </c>
      <c r="I316">
        <v>91.63</v>
      </c>
      <c r="J316">
        <v>1291</v>
      </c>
    </row>
    <row r="317" spans="1:10" x14ac:dyDescent="0.35">
      <c r="A317" s="1">
        <v>45109</v>
      </c>
      <c r="B317" t="s">
        <v>14</v>
      </c>
      <c r="C317" t="s">
        <v>12</v>
      </c>
      <c r="D317">
        <v>2210</v>
      </c>
      <c r="E317">
        <v>1488</v>
      </c>
      <c r="F317">
        <v>1299</v>
      </c>
      <c r="G317">
        <v>23</v>
      </c>
      <c r="H317">
        <v>30</v>
      </c>
      <c r="I317">
        <v>145.15</v>
      </c>
      <c r="J317">
        <v>549</v>
      </c>
    </row>
    <row r="318" spans="1:10" x14ac:dyDescent="0.35">
      <c r="A318" s="1">
        <v>45109</v>
      </c>
      <c r="B318" t="s">
        <v>15</v>
      </c>
      <c r="C318" t="s">
        <v>11</v>
      </c>
      <c r="D318">
        <v>5240</v>
      </c>
      <c r="E318">
        <v>2153</v>
      </c>
      <c r="F318">
        <v>1736</v>
      </c>
      <c r="G318">
        <v>24</v>
      </c>
      <c r="H318">
        <v>132</v>
      </c>
      <c r="I318">
        <v>58.34</v>
      </c>
      <c r="J318">
        <v>821</v>
      </c>
    </row>
    <row r="319" spans="1:10" x14ac:dyDescent="0.35">
      <c r="A319" s="1">
        <v>45109</v>
      </c>
      <c r="B319" t="s">
        <v>15</v>
      </c>
      <c r="C319" t="s">
        <v>12</v>
      </c>
      <c r="D319">
        <v>1401</v>
      </c>
      <c r="E319">
        <v>942</v>
      </c>
      <c r="F319">
        <v>1846</v>
      </c>
      <c r="G319">
        <v>13</v>
      </c>
      <c r="H319">
        <v>702</v>
      </c>
      <c r="I319">
        <v>15.48</v>
      </c>
      <c r="J319">
        <v>371</v>
      </c>
    </row>
    <row r="320" spans="1:10" x14ac:dyDescent="0.35">
      <c r="A320" s="1">
        <v>45109</v>
      </c>
      <c r="B320" t="s">
        <v>16</v>
      </c>
      <c r="C320" t="s">
        <v>11</v>
      </c>
      <c r="D320">
        <v>7030</v>
      </c>
      <c r="E320">
        <v>4078</v>
      </c>
      <c r="F320">
        <v>2404</v>
      </c>
      <c r="G320">
        <v>23</v>
      </c>
      <c r="H320">
        <v>115</v>
      </c>
      <c r="I320">
        <v>93.04</v>
      </c>
      <c r="J320">
        <v>1021</v>
      </c>
    </row>
    <row r="321" spans="1:10" x14ac:dyDescent="0.35">
      <c r="A321" s="1">
        <v>45109</v>
      </c>
      <c r="B321" t="s">
        <v>16</v>
      </c>
      <c r="C321" t="s">
        <v>12</v>
      </c>
      <c r="D321">
        <v>7262</v>
      </c>
      <c r="E321">
        <v>2768</v>
      </c>
      <c r="F321">
        <v>2790</v>
      </c>
      <c r="G321">
        <v>34</v>
      </c>
      <c r="H321">
        <v>59</v>
      </c>
      <c r="I321">
        <v>16.260000000000002</v>
      </c>
      <c r="J321">
        <v>1097</v>
      </c>
    </row>
    <row r="322" spans="1:10" x14ac:dyDescent="0.35">
      <c r="A322" s="1">
        <v>45110</v>
      </c>
      <c r="B322" t="s">
        <v>10</v>
      </c>
      <c r="C322" t="s">
        <v>11</v>
      </c>
      <c r="D322">
        <v>12965</v>
      </c>
      <c r="E322">
        <v>10890</v>
      </c>
      <c r="F322">
        <v>4997</v>
      </c>
      <c r="G322">
        <v>162</v>
      </c>
      <c r="H322">
        <v>52</v>
      </c>
      <c r="I322">
        <v>99.59</v>
      </c>
      <c r="J322">
        <v>2540</v>
      </c>
    </row>
    <row r="323" spans="1:10" x14ac:dyDescent="0.35">
      <c r="A323" s="1">
        <v>45110</v>
      </c>
      <c r="B323" t="s">
        <v>10</v>
      </c>
      <c r="C323" t="s">
        <v>12</v>
      </c>
      <c r="D323">
        <v>6289</v>
      </c>
      <c r="E323">
        <v>1710</v>
      </c>
      <c r="F323">
        <v>3428</v>
      </c>
      <c r="G323">
        <v>14</v>
      </c>
      <c r="H323">
        <v>45</v>
      </c>
      <c r="I323">
        <v>71.959999999999994</v>
      </c>
      <c r="J323">
        <v>1467</v>
      </c>
    </row>
    <row r="324" spans="1:10" x14ac:dyDescent="0.35">
      <c r="A324" s="1">
        <v>45110</v>
      </c>
      <c r="B324" t="s">
        <v>13</v>
      </c>
      <c r="C324" t="s">
        <v>11</v>
      </c>
      <c r="D324">
        <v>3109</v>
      </c>
      <c r="E324">
        <v>2703</v>
      </c>
      <c r="F324">
        <v>1588</v>
      </c>
      <c r="G324">
        <v>29</v>
      </c>
      <c r="H324">
        <v>87</v>
      </c>
      <c r="I324">
        <v>42.26</v>
      </c>
      <c r="J324">
        <v>1186</v>
      </c>
    </row>
    <row r="325" spans="1:10" x14ac:dyDescent="0.35">
      <c r="A325" s="1">
        <v>45110</v>
      </c>
      <c r="B325" t="s">
        <v>13</v>
      </c>
      <c r="C325" t="s">
        <v>12</v>
      </c>
      <c r="D325">
        <v>6572</v>
      </c>
      <c r="E325">
        <v>3573</v>
      </c>
      <c r="F325">
        <v>3761</v>
      </c>
      <c r="G325">
        <v>35</v>
      </c>
      <c r="H325">
        <v>136</v>
      </c>
      <c r="I325">
        <v>63.96</v>
      </c>
      <c r="J325">
        <v>2337</v>
      </c>
    </row>
    <row r="326" spans="1:10" x14ac:dyDescent="0.35">
      <c r="A326" s="1">
        <v>45110</v>
      </c>
      <c r="B326" t="s">
        <v>14</v>
      </c>
      <c r="C326" t="s">
        <v>11</v>
      </c>
      <c r="D326">
        <v>11962</v>
      </c>
      <c r="E326">
        <v>11097</v>
      </c>
      <c r="F326">
        <v>3594</v>
      </c>
      <c r="G326">
        <v>162</v>
      </c>
      <c r="H326">
        <v>38</v>
      </c>
      <c r="I326">
        <v>21.69</v>
      </c>
      <c r="J326">
        <v>2108</v>
      </c>
    </row>
    <row r="327" spans="1:10" x14ac:dyDescent="0.35">
      <c r="A327" s="1">
        <v>45110</v>
      </c>
      <c r="B327" t="s">
        <v>14</v>
      </c>
      <c r="C327" t="s">
        <v>12</v>
      </c>
      <c r="D327">
        <v>2750</v>
      </c>
      <c r="E327">
        <v>2019</v>
      </c>
      <c r="F327">
        <v>1142</v>
      </c>
      <c r="G327">
        <v>13</v>
      </c>
      <c r="H327">
        <v>98</v>
      </c>
      <c r="I327">
        <v>113.39</v>
      </c>
      <c r="J327">
        <v>577</v>
      </c>
    </row>
    <row r="328" spans="1:10" x14ac:dyDescent="0.35">
      <c r="A328" s="1">
        <v>45110</v>
      </c>
      <c r="B328" t="s">
        <v>15</v>
      </c>
      <c r="C328" t="s">
        <v>11</v>
      </c>
      <c r="D328">
        <v>1781</v>
      </c>
      <c r="E328">
        <v>1390</v>
      </c>
      <c r="F328">
        <v>1790</v>
      </c>
      <c r="G328">
        <v>61</v>
      </c>
      <c r="H328">
        <v>596</v>
      </c>
      <c r="I328">
        <v>126.98</v>
      </c>
      <c r="J328">
        <v>265</v>
      </c>
    </row>
    <row r="329" spans="1:10" x14ac:dyDescent="0.35">
      <c r="A329" s="1">
        <v>45110</v>
      </c>
      <c r="B329" t="s">
        <v>15</v>
      </c>
      <c r="C329" t="s">
        <v>12</v>
      </c>
      <c r="D329">
        <v>1499</v>
      </c>
      <c r="E329">
        <v>1318</v>
      </c>
      <c r="F329">
        <v>1889</v>
      </c>
      <c r="G329">
        <v>16</v>
      </c>
      <c r="H329">
        <v>576</v>
      </c>
      <c r="I329">
        <v>159.16</v>
      </c>
      <c r="J329">
        <v>245</v>
      </c>
    </row>
    <row r="330" spans="1:10" x14ac:dyDescent="0.35">
      <c r="A330" s="1">
        <v>45110</v>
      </c>
      <c r="B330" t="s">
        <v>16</v>
      </c>
      <c r="C330" t="s">
        <v>11</v>
      </c>
      <c r="D330">
        <v>4893</v>
      </c>
      <c r="E330">
        <v>3421</v>
      </c>
      <c r="F330">
        <v>2246</v>
      </c>
      <c r="G330">
        <v>47</v>
      </c>
      <c r="H330">
        <v>43</v>
      </c>
      <c r="I330">
        <v>16.93</v>
      </c>
      <c r="J330">
        <v>1512</v>
      </c>
    </row>
    <row r="331" spans="1:10" x14ac:dyDescent="0.35">
      <c r="A331" s="1">
        <v>45110</v>
      </c>
      <c r="B331" t="s">
        <v>16</v>
      </c>
      <c r="C331" t="s">
        <v>12</v>
      </c>
      <c r="D331">
        <v>6914</v>
      </c>
      <c r="E331">
        <v>4310</v>
      </c>
      <c r="F331">
        <v>2249</v>
      </c>
      <c r="G331">
        <v>44</v>
      </c>
      <c r="H331">
        <v>64</v>
      </c>
      <c r="I331">
        <v>107.18</v>
      </c>
      <c r="J331">
        <v>1079</v>
      </c>
    </row>
    <row r="332" spans="1:10" x14ac:dyDescent="0.35">
      <c r="A332" s="1">
        <v>45111</v>
      </c>
      <c r="B332" t="s">
        <v>10</v>
      </c>
      <c r="C332" t="s">
        <v>11</v>
      </c>
      <c r="D332">
        <v>8386</v>
      </c>
      <c r="E332">
        <v>4830</v>
      </c>
      <c r="F332">
        <v>2685</v>
      </c>
      <c r="G332">
        <v>70</v>
      </c>
      <c r="H332">
        <v>36</v>
      </c>
      <c r="I332">
        <v>27.81</v>
      </c>
      <c r="J332">
        <v>1274</v>
      </c>
    </row>
    <row r="333" spans="1:10" x14ac:dyDescent="0.35">
      <c r="A333" s="1">
        <v>45111</v>
      </c>
      <c r="B333" t="s">
        <v>10</v>
      </c>
      <c r="C333" t="s">
        <v>12</v>
      </c>
      <c r="D333">
        <v>4272</v>
      </c>
      <c r="E333">
        <v>1967</v>
      </c>
      <c r="F333">
        <v>1854</v>
      </c>
      <c r="G333">
        <v>28</v>
      </c>
      <c r="H333">
        <v>31</v>
      </c>
      <c r="I333">
        <v>110.58</v>
      </c>
      <c r="J333">
        <v>1222</v>
      </c>
    </row>
    <row r="334" spans="1:10" x14ac:dyDescent="0.35">
      <c r="A334" s="1">
        <v>45111</v>
      </c>
      <c r="B334" t="s">
        <v>13</v>
      </c>
      <c r="C334" t="s">
        <v>11</v>
      </c>
      <c r="D334">
        <v>6096</v>
      </c>
      <c r="E334">
        <v>3354</v>
      </c>
      <c r="F334">
        <v>2893</v>
      </c>
      <c r="G334">
        <v>29</v>
      </c>
      <c r="H334">
        <v>119</v>
      </c>
      <c r="I334">
        <v>79.84</v>
      </c>
      <c r="J334">
        <v>1351</v>
      </c>
    </row>
    <row r="335" spans="1:10" x14ac:dyDescent="0.35">
      <c r="A335" s="1">
        <v>45111</v>
      </c>
      <c r="B335" t="s">
        <v>13</v>
      </c>
      <c r="C335" t="s">
        <v>12</v>
      </c>
      <c r="D335">
        <v>6054</v>
      </c>
      <c r="E335">
        <v>3085</v>
      </c>
      <c r="F335">
        <v>2598</v>
      </c>
      <c r="G335">
        <v>21</v>
      </c>
      <c r="H335">
        <v>117</v>
      </c>
      <c r="I335">
        <v>171.2</v>
      </c>
      <c r="J335">
        <v>946</v>
      </c>
    </row>
    <row r="336" spans="1:10" x14ac:dyDescent="0.35">
      <c r="A336" s="1">
        <v>45111</v>
      </c>
      <c r="B336" t="s">
        <v>14</v>
      </c>
      <c r="C336" t="s">
        <v>11</v>
      </c>
      <c r="D336">
        <v>6544</v>
      </c>
      <c r="E336">
        <v>1690</v>
      </c>
      <c r="F336">
        <v>3213</v>
      </c>
      <c r="G336">
        <v>21</v>
      </c>
      <c r="H336">
        <v>135</v>
      </c>
      <c r="I336">
        <v>113.34</v>
      </c>
      <c r="J336">
        <v>1456</v>
      </c>
    </row>
    <row r="337" spans="1:10" x14ac:dyDescent="0.35">
      <c r="A337" s="1">
        <v>45111</v>
      </c>
      <c r="B337" t="s">
        <v>14</v>
      </c>
      <c r="C337" t="s">
        <v>12</v>
      </c>
      <c r="D337">
        <v>6448</v>
      </c>
      <c r="E337">
        <v>4691</v>
      </c>
      <c r="F337">
        <v>2640</v>
      </c>
      <c r="G337">
        <v>57</v>
      </c>
      <c r="H337">
        <v>34</v>
      </c>
      <c r="I337">
        <v>32.369999999999997</v>
      </c>
      <c r="J337">
        <v>1051</v>
      </c>
    </row>
    <row r="338" spans="1:10" x14ac:dyDescent="0.35">
      <c r="A338" s="1">
        <v>45111</v>
      </c>
      <c r="B338" t="s">
        <v>15</v>
      </c>
      <c r="C338" t="s">
        <v>11</v>
      </c>
      <c r="D338">
        <v>3223</v>
      </c>
      <c r="E338">
        <v>1099</v>
      </c>
      <c r="F338">
        <v>2207</v>
      </c>
      <c r="G338">
        <v>12</v>
      </c>
      <c r="H338">
        <v>108</v>
      </c>
      <c r="I338">
        <v>31.38</v>
      </c>
      <c r="J338">
        <v>524</v>
      </c>
    </row>
    <row r="339" spans="1:10" x14ac:dyDescent="0.35">
      <c r="A339" s="1">
        <v>45111</v>
      </c>
      <c r="B339" t="s">
        <v>15</v>
      </c>
      <c r="C339" t="s">
        <v>12</v>
      </c>
      <c r="D339">
        <v>2519</v>
      </c>
      <c r="E339">
        <v>661</v>
      </c>
      <c r="F339">
        <v>2090</v>
      </c>
      <c r="G339">
        <v>59</v>
      </c>
      <c r="H339">
        <v>603</v>
      </c>
      <c r="I339">
        <v>95.5</v>
      </c>
      <c r="J339">
        <v>272</v>
      </c>
    </row>
    <row r="340" spans="1:10" x14ac:dyDescent="0.35">
      <c r="A340" s="1">
        <v>45111</v>
      </c>
      <c r="B340" t="s">
        <v>16</v>
      </c>
      <c r="C340" t="s">
        <v>11</v>
      </c>
      <c r="D340">
        <v>5405</v>
      </c>
      <c r="E340">
        <v>4800</v>
      </c>
      <c r="F340">
        <v>3172</v>
      </c>
      <c r="G340">
        <v>30</v>
      </c>
      <c r="H340">
        <v>35</v>
      </c>
      <c r="I340">
        <v>179.15</v>
      </c>
      <c r="J340">
        <v>1400</v>
      </c>
    </row>
    <row r="341" spans="1:10" x14ac:dyDescent="0.35">
      <c r="A341" s="1">
        <v>45111</v>
      </c>
      <c r="B341" t="s">
        <v>16</v>
      </c>
      <c r="C341" t="s">
        <v>12</v>
      </c>
      <c r="D341">
        <v>4538</v>
      </c>
      <c r="E341">
        <v>4304</v>
      </c>
      <c r="F341">
        <v>2670</v>
      </c>
      <c r="G341">
        <v>36</v>
      </c>
      <c r="H341">
        <v>30</v>
      </c>
      <c r="I341">
        <v>104.33</v>
      </c>
      <c r="J341">
        <v>1269</v>
      </c>
    </row>
    <row r="342" spans="1:10" x14ac:dyDescent="0.35">
      <c r="A342" s="1">
        <v>45112</v>
      </c>
      <c r="B342" t="s">
        <v>10</v>
      </c>
      <c r="C342" t="s">
        <v>11</v>
      </c>
      <c r="D342">
        <v>7412</v>
      </c>
      <c r="E342">
        <v>4329</v>
      </c>
      <c r="F342">
        <v>2598</v>
      </c>
      <c r="G342">
        <v>48</v>
      </c>
      <c r="H342">
        <v>87</v>
      </c>
      <c r="I342">
        <v>64.88</v>
      </c>
      <c r="J342">
        <v>1068</v>
      </c>
    </row>
    <row r="343" spans="1:10" x14ac:dyDescent="0.35">
      <c r="A343" s="1">
        <v>45112</v>
      </c>
      <c r="B343" t="s">
        <v>10</v>
      </c>
      <c r="C343" t="s">
        <v>12</v>
      </c>
      <c r="D343">
        <v>3863</v>
      </c>
      <c r="E343">
        <v>2899</v>
      </c>
      <c r="F343">
        <v>1747</v>
      </c>
      <c r="G343">
        <v>20</v>
      </c>
      <c r="H343">
        <v>143</v>
      </c>
      <c r="I343">
        <v>107.02</v>
      </c>
      <c r="J343">
        <v>1057</v>
      </c>
    </row>
    <row r="344" spans="1:10" x14ac:dyDescent="0.35">
      <c r="A344" s="1">
        <v>45112</v>
      </c>
      <c r="B344" t="s">
        <v>13</v>
      </c>
      <c r="C344" t="s">
        <v>11</v>
      </c>
      <c r="D344">
        <v>8828</v>
      </c>
      <c r="E344">
        <v>3169</v>
      </c>
      <c r="F344">
        <v>5296</v>
      </c>
      <c r="G344">
        <v>37</v>
      </c>
      <c r="H344">
        <v>45</v>
      </c>
      <c r="I344">
        <v>136.21</v>
      </c>
      <c r="J344">
        <v>1947</v>
      </c>
    </row>
    <row r="345" spans="1:10" x14ac:dyDescent="0.35">
      <c r="A345" s="1">
        <v>45112</v>
      </c>
      <c r="B345" t="s">
        <v>13</v>
      </c>
      <c r="C345" t="s">
        <v>12</v>
      </c>
      <c r="D345">
        <v>5207</v>
      </c>
      <c r="E345">
        <v>3587</v>
      </c>
      <c r="F345">
        <v>2532</v>
      </c>
      <c r="G345">
        <v>42</v>
      </c>
      <c r="H345">
        <v>31</v>
      </c>
      <c r="I345">
        <v>155.66999999999999</v>
      </c>
      <c r="J345">
        <v>989</v>
      </c>
    </row>
    <row r="346" spans="1:10" x14ac:dyDescent="0.35">
      <c r="A346" s="1">
        <v>45112</v>
      </c>
      <c r="B346" t="s">
        <v>14</v>
      </c>
      <c r="C346" t="s">
        <v>11</v>
      </c>
      <c r="D346">
        <v>4596</v>
      </c>
      <c r="E346">
        <v>2899</v>
      </c>
      <c r="F346">
        <v>2708</v>
      </c>
      <c r="G346">
        <v>22</v>
      </c>
      <c r="H346">
        <v>33</v>
      </c>
      <c r="I346">
        <v>90.65</v>
      </c>
      <c r="J346">
        <v>1921</v>
      </c>
    </row>
    <row r="347" spans="1:10" x14ac:dyDescent="0.35">
      <c r="A347" s="1">
        <v>45112</v>
      </c>
      <c r="B347" t="s">
        <v>14</v>
      </c>
      <c r="C347" t="s">
        <v>12</v>
      </c>
      <c r="D347">
        <v>6194</v>
      </c>
      <c r="E347">
        <v>2069</v>
      </c>
      <c r="F347">
        <v>2090</v>
      </c>
      <c r="G347">
        <v>29</v>
      </c>
      <c r="H347">
        <v>58</v>
      </c>
      <c r="I347">
        <v>20.69</v>
      </c>
      <c r="J347">
        <v>1374</v>
      </c>
    </row>
    <row r="348" spans="1:10" x14ac:dyDescent="0.35">
      <c r="A348" s="1">
        <v>45112</v>
      </c>
      <c r="B348" t="s">
        <v>15</v>
      </c>
      <c r="C348" t="s">
        <v>11</v>
      </c>
      <c r="D348">
        <v>5668</v>
      </c>
      <c r="E348">
        <v>1967</v>
      </c>
      <c r="F348">
        <v>3368</v>
      </c>
      <c r="G348">
        <v>20</v>
      </c>
      <c r="H348">
        <v>85</v>
      </c>
      <c r="I348">
        <v>76.930000000000007</v>
      </c>
      <c r="J348">
        <v>1743</v>
      </c>
    </row>
    <row r="349" spans="1:10" x14ac:dyDescent="0.35">
      <c r="A349" s="1">
        <v>45112</v>
      </c>
      <c r="B349" t="s">
        <v>15</v>
      </c>
      <c r="C349" t="s">
        <v>12</v>
      </c>
      <c r="D349">
        <v>2454</v>
      </c>
      <c r="E349">
        <v>1512</v>
      </c>
      <c r="F349">
        <v>1061</v>
      </c>
      <c r="G349">
        <v>17</v>
      </c>
      <c r="H349">
        <v>68</v>
      </c>
      <c r="I349">
        <v>134.74</v>
      </c>
      <c r="J349">
        <v>607</v>
      </c>
    </row>
    <row r="350" spans="1:10" x14ac:dyDescent="0.35">
      <c r="A350" s="1">
        <v>45112</v>
      </c>
      <c r="B350" t="s">
        <v>16</v>
      </c>
      <c r="C350" t="s">
        <v>11</v>
      </c>
      <c r="D350">
        <v>6641</v>
      </c>
      <c r="E350">
        <v>6283</v>
      </c>
      <c r="F350">
        <v>3641</v>
      </c>
      <c r="G350">
        <v>61</v>
      </c>
      <c r="H350">
        <v>56</v>
      </c>
      <c r="I350">
        <v>93.62</v>
      </c>
      <c r="J350">
        <v>2345</v>
      </c>
    </row>
    <row r="351" spans="1:10" x14ac:dyDescent="0.35">
      <c r="A351" s="1">
        <v>45112</v>
      </c>
      <c r="B351" t="s">
        <v>16</v>
      </c>
      <c r="C351" t="s">
        <v>12</v>
      </c>
      <c r="D351">
        <v>6300</v>
      </c>
      <c r="E351">
        <v>2007</v>
      </c>
      <c r="F351">
        <v>2720</v>
      </c>
      <c r="G351">
        <v>30</v>
      </c>
      <c r="H351">
        <v>98</v>
      </c>
      <c r="I351">
        <v>66.459999999999994</v>
      </c>
      <c r="J351">
        <v>1853</v>
      </c>
    </row>
    <row r="352" spans="1:10" x14ac:dyDescent="0.35">
      <c r="A352" s="1">
        <v>45113</v>
      </c>
      <c r="B352" t="s">
        <v>10</v>
      </c>
      <c r="C352" t="s">
        <v>11</v>
      </c>
      <c r="D352">
        <v>9398</v>
      </c>
      <c r="E352">
        <v>5289</v>
      </c>
      <c r="F352">
        <v>4586</v>
      </c>
      <c r="G352">
        <v>58</v>
      </c>
      <c r="H352">
        <v>109</v>
      </c>
      <c r="I352">
        <v>128.47</v>
      </c>
      <c r="J352">
        <v>3287</v>
      </c>
    </row>
    <row r="353" spans="1:10" x14ac:dyDescent="0.35">
      <c r="A353" s="1">
        <v>45113</v>
      </c>
      <c r="B353" t="s">
        <v>10</v>
      </c>
      <c r="C353" t="s">
        <v>12</v>
      </c>
      <c r="D353">
        <v>5867</v>
      </c>
      <c r="E353">
        <v>5091</v>
      </c>
      <c r="F353">
        <v>2873</v>
      </c>
      <c r="G353">
        <v>57</v>
      </c>
      <c r="H353">
        <v>32</v>
      </c>
      <c r="I353">
        <v>61</v>
      </c>
      <c r="J353">
        <v>1695</v>
      </c>
    </row>
    <row r="354" spans="1:10" x14ac:dyDescent="0.35">
      <c r="A354" s="1">
        <v>45113</v>
      </c>
      <c r="B354" t="s">
        <v>13</v>
      </c>
      <c r="C354" t="s">
        <v>11</v>
      </c>
      <c r="D354">
        <v>3417</v>
      </c>
      <c r="E354">
        <v>2120</v>
      </c>
      <c r="F354">
        <v>2040</v>
      </c>
      <c r="G354">
        <v>30</v>
      </c>
      <c r="H354">
        <v>51</v>
      </c>
      <c r="I354">
        <v>15.38</v>
      </c>
      <c r="J354">
        <v>796</v>
      </c>
    </row>
    <row r="355" spans="1:10" x14ac:dyDescent="0.35">
      <c r="A355" s="1">
        <v>45113</v>
      </c>
      <c r="B355" t="s">
        <v>13</v>
      </c>
      <c r="C355" t="s">
        <v>12</v>
      </c>
      <c r="D355">
        <v>7146</v>
      </c>
      <c r="E355">
        <v>5511</v>
      </c>
      <c r="F355">
        <v>3731</v>
      </c>
      <c r="G355">
        <v>81</v>
      </c>
      <c r="H355">
        <v>39</v>
      </c>
      <c r="I355">
        <v>150.62</v>
      </c>
      <c r="J355">
        <v>1359</v>
      </c>
    </row>
    <row r="356" spans="1:10" x14ac:dyDescent="0.35">
      <c r="A356" s="1">
        <v>45113</v>
      </c>
      <c r="B356" t="s">
        <v>14</v>
      </c>
      <c r="C356" t="s">
        <v>11</v>
      </c>
      <c r="D356">
        <v>8035</v>
      </c>
      <c r="E356">
        <v>6360</v>
      </c>
      <c r="F356">
        <v>3890</v>
      </c>
      <c r="G356">
        <v>95</v>
      </c>
      <c r="H356">
        <v>58</v>
      </c>
      <c r="I356">
        <v>128.41999999999999</v>
      </c>
      <c r="J356">
        <v>1322</v>
      </c>
    </row>
    <row r="357" spans="1:10" x14ac:dyDescent="0.35">
      <c r="A357" s="1">
        <v>45113</v>
      </c>
      <c r="B357" t="s">
        <v>14</v>
      </c>
      <c r="C357" t="s">
        <v>12</v>
      </c>
      <c r="D357">
        <v>2806</v>
      </c>
      <c r="E357">
        <v>806</v>
      </c>
      <c r="F357">
        <v>2148</v>
      </c>
      <c r="G357">
        <v>60</v>
      </c>
      <c r="H357">
        <v>31</v>
      </c>
      <c r="I357">
        <v>16</v>
      </c>
      <c r="J357">
        <v>621</v>
      </c>
    </row>
    <row r="358" spans="1:10" x14ac:dyDescent="0.35">
      <c r="A358" s="1">
        <v>45113</v>
      </c>
      <c r="B358" t="s">
        <v>15</v>
      </c>
      <c r="C358" t="s">
        <v>11</v>
      </c>
      <c r="D358">
        <v>2139</v>
      </c>
      <c r="E358">
        <v>1318</v>
      </c>
      <c r="F358">
        <v>1904</v>
      </c>
      <c r="G358">
        <v>11</v>
      </c>
      <c r="H358">
        <v>694</v>
      </c>
      <c r="I358">
        <v>93.91</v>
      </c>
      <c r="J358">
        <v>363</v>
      </c>
    </row>
    <row r="359" spans="1:10" x14ac:dyDescent="0.35">
      <c r="A359" s="1">
        <v>45113</v>
      </c>
      <c r="B359" t="s">
        <v>15</v>
      </c>
      <c r="C359" t="s">
        <v>12</v>
      </c>
      <c r="D359">
        <v>2293</v>
      </c>
      <c r="E359">
        <v>671</v>
      </c>
      <c r="F359">
        <v>2104</v>
      </c>
      <c r="G359">
        <v>59</v>
      </c>
      <c r="H359">
        <v>691</v>
      </c>
      <c r="I359">
        <v>63.26</v>
      </c>
      <c r="J359">
        <v>360</v>
      </c>
    </row>
    <row r="360" spans="1:10" x14ac:dyDescent="0.35">
      <c r="A360" s="1">
        <v>45113</v>
      </c>
      <c r="B360" t="s">
        <v>16</v>
      </c>
      <c r="C360" t="s">
        <v>11</v>
      </c>
      <c r="D360">
        <v>5836</v>
      </c>
      <c r="E360">
        <v>3102</v>
      </c>
      <c r="F360">
        <v>2314</v>
      </c>
      <c r="G360">
        <v>48</v>
      </c>
      <c r="H360">
        <v>40</v>
      </c>
      <c r="I360">
        <v>51.18</v>
      </c>
      <c r="J360">
        <v>1190</v>
      </c>
    </row>
    <row r="361" spans="1:10" x14ac:dyDescent="0.35">
      <c r="A361" s="1">
        <v>45113</v>
      </c>
      <c r="B361" t="s">
        <v>16</v>
      </c>
      <c r="C361" t="s">
        <v>12</v>
      </c>
      <c r="D361">
        <v>3131</v>
      </c>
      <c r="E361">
        <v>2112</v>
      </c>
      <c r="F361">
        <v>1548</v>
      </c>
      <c r="G361">
        <v>19</v>
      </c>
      <c r="H361">
        <v>49</v>
      </c>
      <c r="I361">
        <v>158.04</v>
      </c>
      <c r="J361">
        <v>550</v>
      </c>
    </row>
    <row r="362" spans="1:10" x14ac:dyDescent="0.35">
      <c r="A362" s="1">
        <v>45114</v>
      </c>
      <c r="B362" t="s">
        <v>10</v>
      </c>
      <c r="C362" t="s">
        <v>11</v>
      </c>
      <c r="D362">
        <v>11017</v>
      </c>
      <c r="E362">
        <v>7291</v>
      </c>
      <c r="F362">
        <v>3542</v>
      </c>
      <c r="G362">
        <v>89</v>
      </c>
      <c r="H362">
        <v>70</v>
      </c>
      <c r="I362">
        <v>150.72</v>
      </c>
      <c r="J362">
        <v>2151</v>
      </c>
    </row>
    <row r="363" spans="1:10" x14ac:dyDescent="0.35">
      <c r="A363" s="1">
        <v>45114</v>
      </c>
      <c r="B363" t="s">
        <v>10</v>
      </c>
      <c r="C363" t="s">
        <v>12</v>
      </c>
      <c r="D363">
        <v>11846</v>
      </c>
      <c r="E363">
        <v>5316</v>
      </c>
      <c r="F363">
        <v>3980</v>
      </c>
      <c r="G363">
        <v>61</v>
      </c>
      <c r="H363">
        <v>67</v>
      </c>
      <c r="I363">
        <v>96.95</v>
      </c>
      <c r="J363">
        <v>2836</v>
      </c>
    </row>
    <row r="364" spans="1:10" x14ac:dyDescent="0.35">
      <c r="A364" s="1">
        <v>45114</v>
      </c>
      <c r="B364" t="s">
        <v>13</v>
      </c>
      <c r="C364" t="s">
        <v>11</v>
      </c>
      <c r="D364">
        <v>10342</v>
      </c>
      <c r="E364">
        <v>9050</v>
      </c>
      <c r="F364">
        <v>5342</v>
      </c>
      <c r="G364">
        <v>132</v>
      </c>
      <c r="H364">
        <v>41</v>
      </c>
      <c r="I364">
        <v>99.34</v>
      </c>
      <c r="J364">
        <v>2255</v>
      </c>
    </row>
    <row r="365" spans="1:10" x14ac:dyDescent="0.35">
      <c r="A365" s="1">
        <v>45114</v>
      </c>
      <c r="B365" t="s">
        <v>13</v>
      </c>
      <c r="C365" t="s">
        <v>12</v>
      </c>
      <c r="D365">
        <v>2724</v>
      </c>
      <c r="E365">
        <v>1195</v>
      </c>
      <c r="F365">
        <v>2081</v>
      </c>
      <c r="G365">
        <v>16</v>
      </c>
      <c r="H365">
        <v>88</v>
      </c>
      <c r="I365">
        <v>170.17</v>
      </c>
      <c r="J365">
        <v>588</v>
      </c>
    </row>
    <row r="366" spans="1:10" x14ac:dyDescent="0.35">
      <c r="A366" s="1">
        <v>45114</v>
      </c>
      <c r="B366" t="s">
        <v>14</v>
      </c>
      <c r="C366" t="s">
        <v>11</v>
      </c>
      <c r="D366">
        <v>6571</v>
      </c>
      <c r="E366">
        <v>3073</v>
      </c>
      <c r="F366">
        <v>2681</v>
      </c>
      <c r="G366">
        <v>19</v>
      </c>
      <c r="H366">
        <v>119</v>
      </c>
      <c r="I366">
        <v>164.69</v>
      </c>
      <c r="J366">
        <v>1131</v>
      </c>
    </row>
    <row r="367" spans="1:10" x14ac:dyDescent="0.35">
      <c r="A367" s="1">
        <v>45114</v>
      </c>
      <c r="B367" t="s">
        <v>14</v>
      </c>
      <c r="C367" t="s">
        <v>12</v>
      </c>
      <c r="D367">
        <v>5604</v>
      </c>
      <c r="E367">
        <v>3095</v>
      </c>
      <c r="F367">
        <v>2316</v>
      </c>
      <c r="G367">
        <v>48</v>
      </c>
      <c r="H367">
        <v>114</v>
      </c>
      <c r="I367">
        <v>21.98</v>
      </c>
      <c r="J367">
        <v>1699</v>
      </c>
    </row>
    <row r="368" spans="1:10" x14ac:dyDescent="0.35">
      <c r="A368" s="1">
        <v>45114</v>
      </c>
      <c r="B368" t="s">
        <v>15</v>
      </c>
      <c r="C368" t="s">
        <v>11</v>
      </c>
      <c r="D368">
        <v>2084</v>
      </c>
      <c r="E368">
        <v>1082</v>
      </c>
      <c r="F368">
        <v>1065</v>
      </c>
      <c r="G368">
        <v>13</v>
      </c>
      <c r="H368">
        <v>653</v>
      </c>
      <c r="I368">
        <v>124.95</v>
      </c>
      <c r="J368">
        <v>322</v>
      </c>
    </row>
    <row r="369" spans="1:10" x14ac:dyDescent="0.35">
      <c r="A369" s="1">
        <v>45114</v>
      </c>
      <c r="B369" t="s">
        <v>15</v>
      </c>
      <c r="C369" t="s">
        <v>12</v>
      </c>
      <c r="D369">
        <v>2824</v>
      </c>
      <c r="E369">
        <v>1244</v>
      </c>
      <c r="F369">
        <v>1420</v>
      </c>
      <c r="G369">
        <v>61</v>
      </c>
      <c r="H369">
        <v>88</v>
      </c>
      <c r="I369">
        <v>144</v>
      </c>
      <c r="J369">
        <v>1029</v>
      </c>
    </row>
    <row r="370" spans="1:10" x14ac:dyDescent="0.35">
      <c r="A370" s="1">
        <v>45114</v>
      </c>
      <c r="B370" t="s">
        <v>16</v>
      </c>
      <c r="C370" t="s">
        <v>11</v>
      </c>
      <c r="D370">
        <v>11378</v>
      </c>
      <c r="E370">
        <v>10918</v>
      </c>
      <c r="F370">
        <v>5115</v>
      </c>
      <c r="G370">
        <v>68</v>
      </c>
      <c r="H370">
        <v>54</v>
      </c>
      <c r="I370">
        <v>90.52</v>
      </c>
      <c r="J370">
        <v>2421</v>
      </c>
    </row>
    <row r="371" spans="1:10" x14ac:dyDescent="0.35">
      <c r="A371" s="1">
        <v>45114</v>
      </c>
      <c r="B371" t="s">
        <v>16</v>
      </c>
      <c r="C371" t="s">
        <v>12</v>
      </c>
      <c r="D371">
        <v>4311</v>
      </c>
      <c r="E371">
        <v>3003</v>
      </c>
      <c r="F371">
        <v>1297</v>
      </c>
      <c r="G371">
        <v>42</v>
      </c>
      <c r="H371">
        <v>113</v>
      </c>
      <c r="I371">
        <v>150.66</v>
      </c>
      <c r="J371">
        <v>890</v>
      </c>
    </row>
    <row r="372" spans="1:10" x14ac:dyDescent="0.35">
      <c r="A372" s="1">
        <v>45115</v>
      </c>
      <c r="B372" t="s">
        <v>10</v>
      </c>
      <c r="C372" t="s">
        <v>11</v>
      </c>
      <c r="D372">
        <v>13743</v>
      </c>
      <c r="E372">
        <v>10419</v>
      </c>
      <c r="F372">
        <v>7709</v>
      </c>
      <c r="G372">
        <v>97</v>
      </c>
      <c r="H372">
        <v>36</v>
      </c>
      <c r="I372">
        <v>126.84</v>
      </c>
      <c r="J372">
        <v>4847</v>
      </c>
    </row>
    <row r="373" spans="1:10" x14ac:dyDescent="0.35">
      <c r="A373" s="1">
        <v>45115</v>
      </c>
      <c r="B373" t="s">
        <v>10</v>
      </c>
      <c r="C373" t="s">
        <v>12</v>
      </c>
      <c r="D373">
        <v>8633</v>
      </c>
      <c r="E373">
        <v>2295</v>
      </c>
      <c r="F373">
        <v>5000</v>
      </c>
      <c r="G373">
        <v>22</v>
      </c>
      <c r="H373">
        <v>51</v>
      </c>
      <c r="I373">
        <v>121.4</v>
      </c>
      <c r="J373">
        <v>1783</v>
      </c>
    </row>
    <row r="374" spans="1:10" x14ac:dyDescent="0.35">
      <c r="A374" s="1">
        <v>45115</v>
      </c>
      <c r="B374" t="s">
        <v>13</v>
      </c>
      <c r="C374" t="s">
        <v>11</v>
      </c>
      <c r="D374">
        <v>4932</v>
      </c>
      <c r="E374">
        <v>3606</v>
      </c>
      <c r="F374">
        <v>2337</v>
      </c>
      <c r="G374">
        <v>38</v>
      </c>
      <c r="H374">
        <v>67</v>
      </c>
      <c r="I374">
        <v>24.59</v>
      </c>
      <c r="J374">
        <v>791</v>
      </c>
    </row>
    <row r="375" spans="1:10" x14ac:dyDescent="0.35">
      <c r="A375" s="1">
        <v>45115</v>
      </c>
      <c r="B375" t="s">
        <v>13</v>
      </c>
      <c r="C375" t="s">
        <v>12</v>
      </c>
      <c r="D375">
        <v>3685</v>
      </c>
      <c r="E375">
        <v>2959</v>
      </c>
      <c r="F375">
        <v>1216</v>
      </c>
      <c r="G375">
        <v>34</v>
      </c>
      <c r="H375">
        <v>80</v>
      </c>
      <c r="I375">
        <v>70.66</v>
      </c>
      <c r="J375">
        <v>741</v>
      </c>
    </row>
    <row r="376" spans="1:10" x14ac:dyDescent="0.35">
      <c r="A376" s="1">
        <v>45115</v>
      </c>
      <c r="B376" t="s">
        <v>14</v>
      </c>
      <c r="C376" t="s">
        <v>11</v>
      </c>
      <c r="D376">
        <v>9118</v>
      </c>
      <c r="E376">
        <v>6845</v>
      </c>
      <c r="F376">
        <v>2821</v>
      </c>
      <c r="G376">
        <v>110</v>
      </c>
      <c r="H376">
        <v>44</v>
      </c>
      <c r="I376">
        <v>113.2</v>
      </c>
      <c r="J376">
        <v>1781</v>
      </c>
    </row>
    <row r="377" spans="1:10" x14ac:dyDescent="0.35">
      <c r="A377" s="1">
        <v>45115</v>
      </c>
      <c r="B377" t="s">
        <v>14</v>
      </c>
      <c r="C377" t="s">
        <v>12</v>
      </c>
      <c r="D377">
        <v>5081</v>
      </c>
      <c r="E377">
        <v>3871</v>
      </c>
      <c r="F377">
        <v>1588</v>
      </c>
      <c r="G377">
        <v>59</v>
      </c>
      <c r="H377">
        <v>87</v>
      </c>
      <c r="I377">
        <v>142.71</v>
      </c>
      <c r="J377">
        <v>760</v>
      </c>
    </row>
    <row r="378" spans="1:10" x14ac:dyDescent="0.35">
      <c r="A378" s="1">
        <v>45115</v>
      </c>
      <c r="B378" t="s">
        <v>15</v>
      </c>
      <c r="C378" t="s">
        <v>11</v>
      </c>
      <c r="D378">
        <v>5085</v>
      </c>
      <c r="E378">
        <v>2025</v>
      </c>
      <c r="F378">
        <v>2833</v>
      </c>
      <c r="G378">
        <v>13</v>
      </c>
      <c r="H378">
        <v>82</v>
      </c>
      <c r="I378">
        <v>148.18</v>
      </c>
      <c r="J378">
        <v>1583</v>
      </c>
    </row>
    <row r="379" spans="1:10" x14ac:dyDescent="0.35">
      <c r="A379" s="1">
        <v>45115</v>
      </c>
      <c r="B379" t="s">
        <v>15</v>
      </c>
      <c r="C379" t="s">
        <v>12</v>
      </c>
      <c r="D379">
        <v>4978</v>
      </c>
      <c r="E379">
        <v>3104</v>
      </c>
      <c r="F379">
        <v>1190</v>
      </c>
      <c r="G379">
        <v>31</v>
      </c>
      <c r="H379">
        <v>42</v>
      </c>
      <c r="I379">
        <v>72.44</v>
      </c>
      <c r="J379">
        <v>540</v>
      </c>
    </row>
    <row r="380" spans="1:10" x14ac:dyDescent="0.35">
      <c r="A380" s="1">
        <v>45115</v>
      </c>
      <c r="B380" t="s">
        <v>16</v>
      </c>
      <c r="C380" t="s">
        <v>11</v>
      </c>
      <c r="D380">
        <v>5225</v>
      </c>
      <c r="E380">
        <v>3401</v>
      </c>
      <c r="F380">
        <v>2607</v>
      </c>
      <c r="G380">
        <v>39</v>
      </c>
      <c r="H380">
        <v>49</v>
      </c>
      <c r="I380">
        <v>18.89</v>
      </c>
      <c r="J380">
        <v>1425</v>
      </c>
    </row>
    <row r="381" spans="1:10" x14ac:dyDescent="0.35">
      <c r="A381" s="1">
        <v>45115</v>
      </c>
      <c r="B381" t="s">
        <v>16</v>
      </c>
      <c r="C381" t="s">
        <v>12</v>
      </c>
      <c r="D381">
        <v>3770</v>
      </c>
      <c r="E381">
        <v>3157</v>
      </c>
      <c r="F381">
        <v>1460</v>
      </c>
      <c r="G381">
        <v>38</v>
      </c>
      <c r="H381">
        <v>81</v>
      </c>
      <c r="I381">
        <v>25.84</v>
      </c>
      <c r="J381">
        <v>574</v>
      </c>
    </row>
    <row r="382" spans="1:10" x14ac:dyDescent="0.35">
      <c r="A382" s="1">
        <v>45116</v>
      </c>
      <c r="B382" t="s">
        <v>10</v>
      </c>
      <c r="C382" t="s">
        <v>11</v>
      </c>
      <c r="D382">
        <v>12312</v>
      </c>
      <c r="E382">
        <v>11264</v>
      </c>
      <c r="F382">
        <v>5442</v>
      </c>
      <c r="G382">
        <v>136</v>
      </c>
      <c r="H382">
        <v>93</v>
      </c>
      <c r="I382">
        <v>173.04</v>
      </c>
      <c r="J382">
        <v>1779</v>
      </c>
    </row>
    <row r="383" spans="1:10" x14ac:dyDescent="0.35">
      <c r="A383" s="1">
        <v>45116</v>
      </c>
      <c r="B383" t="s">
        <v>10</v>
      </c>
      <c r="C383" t="s">
        <v>12</v>
      </c>
      <c r="D383">
        <v>8150</v>
      </c>
      <c r="E383">
        <v>3360</v>
      </c>
      <c r="F383">
        <v>4037</v>
      </c>
      <c r="G383">
        <v>38</v>
      </c>
      <c r="H383">
        <v>45</v>
      </c>
      <c r="I383">
        <v>75.34</v>
      </c>
      <c r="J383">
        <v>2382</v>
      </c>
    </row>
    <row r="384" spans="1:10" x14ac:dyDescent="0.35">
      <c r="A384" s="1">
        <v>45116</v>
      </c>
      <c r="B384" t="s">
        <v>13</v>
      </c>
      <c r="C384" t="s">
        <v>11</v>
      </c>
      <c r="D384">
        <v>6414</v>
      </c>
      <c r="E384">
        <v>4890</v>
      </c>
      <c r="F384">
        <v>3648</v>
      </c>
      <c r="G384">
        <v>60</v>
      </c>
      <c r="H384">
        <v>53</v>
      </c>
      <c r="I384">
        <v>39.25</v>
      </c>
      <c r="J384">
        <v>2485</v>
      </c>
    </row>
    <row r="385" spans="1:10" x14ac:dyDescent="0.35">
      <c r="A385" s="1">
        <v>45116</v>
      </c>
      <c r="B385" t="s">
        <v>13</v>
      </c>
      <c r="C385" t="s">
        <v>12</v>
      </c>
      <c r="D385">
        <v>3506</v>
      </c>
      <c r="E385">
        <v>2172</v>
      </c>
      <c r="F385">
        <v>1224</v>
      </c>
      <c r="G385">
        <v>34</v>
      </c>
      <c r="H385">
        <v>110</v>
      </c>
      <c r="I385">
        <v>166.39</v>
      </c>
      <c r="J385">
        <v>721</v>
      </c>
    </row>
    <row r="386" spans="1:10" x14ac:dyDescent="0.35">
      <c r="A386" s="1">
        <v>45116</v>
      </c>
      <c r="B386" t="s">
        <v>14</v>
      </c>
      <c r="C386" t="s">
        <v>11</v>
      </c>
      <c r="D386">
        <v>3129</v>
      </c>
      <c r="E386">
        <v>2384</v>
      </c>
      <c r="F386">
        <v>2209</v>
      </c>
      <c r="G386">
        <v>27</v>
      </c>
      <c r="H386">
        <v>37</v>
      </c>
      <c r="I386">
        <v>16.29</v>
      </c>
      <c r="J386">
        <v>608</v>
      </c>
    </row>
    <row r="387" spans="1:10" x14ac:dyDescent="0.35">
      <c r="A387" s="1">
        <v>45116</v>
      </c>
      <c r="B387" t="s">
        <v>14</v>
      </c>
      <c r="C387" t="s">
        <v>12</v>
      </c>
      <c r="D387">
        <v>4376</v>
      </c>
      <c r="E387">
        <v>1776</v>
      </c>
      <c r="F387">
        <v>1858</v>
      </c>
      <c r="G387">
        <v>10</v>
      </c>
      <c r="H387">
        <v>129</v>
      </c>
      <c r="I387">
        <v>97.6</v>
      </c>
      <c r="J387">
        <v>810</v>
      </c>
    </row>
    <row r="388" spans="1:10" x14ac:dyDescent="0.35">
      <c r="A388" s="1">
        <v>45116</v>
      </c>
      <c r="B388" t="s">
        <v>15</v>
      </c>
      <c r="C388" t="s">
        <v>11</v>
      </c>
      <c r="D388">
        <v>3426</v>
      </c>
      <c r="E388">
        <v>3196</v>
      </c>
      <c r="F388">
        <v>1982</v>
      </c>
      <c r="G388">
        <v>39</v>
      </c>
      <c r="H388">
        <v>120</v>
      </c>
      <c r="I388">
        <v>86.41</v>
      </c>
      <c r="J388">
        <v>1273</v>
      </c>
    </row>
    <row r="389" spans="1:10" x14ac:dyDescent="0.35">
      <c r="A389" s="1">
        <v>45116</v>
      </c>
      <c r="B389" t="s">
        <v>15</v>
      </c>
      <c r="C389" t="s">
        <v>12</v>
      </c>
      <c r="D389">
        <v>1351</v>
      </c>
      <c r="E389">
        <v>870</v>
      </c>
      <c r="F389">
        <v>1814</v>
      </c>
      <c r="G389">
        <v>13</v>
      </c>
      <c r="H389">
        <v>754</v>
      </c>
      <c r="I389">
        <v>176.9</v>
      </c>
      <c r="J389">
        <v>423</v>
      </c>
    </row>
    <row r="390" spans="1:10" x14ac:dyDescent="0.35">
      <c r="A390" s="1">
        <v>45116</v>
      </c>
      <c r="B390" t="s">
        <v>16</v>
      </c>
      <c r="C390" t="s">
        <v>11</v>
      </c>
      <c r="D390">
        <v>9343</v>
      </c>
      <c r="E390">
        <v>5789</v>
      </c>
      <c r="F390">
        <v>4650</v>
      </c>
      <c r="G390">
        <v>55</v>
      </c>
      <c r="H390">
        <v>42</v>
      </c>
      <c r="I390">
        <v>179.15</v>
      </c>
      <c r="J390">
        <v>1623</v>
      </c>
    </row>
    <row r="391" spans="1:10" x14ac:dyDescent="0.35">
      <c r="A391" s="1">
        <v>45116</v>
      </c>
      <c r="B391" t="s">
        <v>16</v>
      </c>
      <c r="C391" t="s">
        <v>12</v>
      </c>
      <c r="D391">
        <v>7657</v>
      </c>
      <c r="E391">
        <v>7092</v>
      </c>
      <c r="F391">
        <v>2800</v>
      </c>
      <c r="G391">
        <v>79</v>
      </c>
      <c r="H391">
        <v>33</v>
      </c>
      <c r="I391">
        <v>50.3</v>
      </c>
      <c r="J391">
        <v>1418</v>
      </c>
    </row>
    <row r="392" spans="1:10" x14ac:dyDescent="0.35">
      <c r="A392" s="1">
        <v>45117</v>
      </c>
      <c r="B392" t="s">
        <v>10</v>
      </c>
      <c r="C392" t="s">
        <v>11</v>
      </c>
      <c r="D392">
        <v>13674</v>
      </c>
      <c r="E392">
        <v>12941</v>
      </c>
      <c r="F392">
        <v>7353</v>
      </c>
      <c r="G392">
        <v>93</v>
      </c>
      <c r="H392">
        <v>37</v>
      </c>
      <c r="I392">
        <v>80.209999999999994</v>
      </c>
      <c r="J392">
        <v>5210</v>
      </c>
    </row>
    <row r="393" spans="1:10" x14ac:dyDescent="0.35">
      <c r="A393" s="1">
        <v>45117</v>
      </c>
      <c r="B393" t="s">
        <v>10</v>
      </c>
      <c r="C393" t="s">
        <v>12</v>
      </c>
      <c r="D393">
        <v>4737</v>
      </c>
      <c r="E393">
        <v>4470</v>
      </c>
      <c r="F393">
        <v>1651</v>
      </c>
      <c r="G393">
        <v>62</v>
      </c>
      <c r="H393">
        <v>116</v>
      </c>
      <c r="I393">
        <v>120.7</v>
      </c>
      <c r="J393">
        <v>849</v>
      </c>
    </row>
    <row r="394" spans="1:10" x14ac:dyDescent="0.35">
      <c r="A394" s="1">
        <v>45117</v>
      </c>
      <c r="B394" t="s">
        <v>13</v>
      </c>
      <c r="C394" t="s">
        <v>11</v>
      </c>
      <c r="D394">
        <v>6095</v>
      </c>
      <c r="E394">
        <v>4891</v>
      </c>
      <c r="F394">
        <v>3225</v>
      </c>
      <c r="G394">
        <v>79</v>
      </c>
      <c r="H394">
        <v>104</v>
      </c>
      <c r="I394">
        <v>144.43</v>
      </c>
      <c r="J394">
        <v>2208</v>
      </c>
    </row>
    <row r="395" spans="1:10" x14ac:dyDescent="0.35">
      <c r="A395" s="1">
        <v>45117</v>
      </c>
      <c r="B395" t="s">
        <v>13</v>
      </c>
      <c r="C395" t="s">
        <v>12</v>
      </c>
      <c r="D395">
        <v>5262</v>
      </c>
      <c r="E395">
        <v>4772</v>
      </c>
      <c r="F395">
        <v>2580</v>
      </c>
      <c r="G395">
        <v>37</v>
      </c>
      <c r="H395">
        <v>34</v>
      </c>
      <c r="I395">
        <v>99.92</v>
      </c>
      <c r="J395">
        <v>1032</v>
      </c>
    </row>
    <row r="396" spans="1:10" x14ac:dyDescent="0.35">
      <c r="A396" s="1">
        <v>45117</v>
      </c>
      <c r="B396" t="s">
        <v>14</v>
      </c>
      <c r="C396" t="s">
        <v>11</v>
      </c>
      <c r="D396">
        <v>8481</v>
      </c>
      <c r="E396">
        <v>2618</v>
      </c>
      <c r="F396">
        <v>2618</v>
      </c>
      <c r="G396">
        <v>26</v>
      </c>
      <c r="H396">
        <v>65</v>
      </c>
      <c r="I396">
        <v>163.72999999999999</v>
      </c>
      <c r="J396">
        <v>1352</v>
      </c>
    </row>
    <row r="397" spans="1:10" x14ac:dyDescent="0.35">
      <c r="A397" s="1">
        <v>45117</v>
      </c>
      <c r="B397" t="s">
        <v>14</v>
      </c>
      <c r="C397" t="s">
        <v>12</v>
      </c>
      <c r="D397">
        <v>5861</v>
      </c>
      <c r="E397">
        <v>3085</v>
      </c>
      <c r="F397">
        <v>3505</v>
      </c>
      <c r="G397">
        <v>48</v>
      </c>
      <c r="H397">
        <v>136</v>
      </c>
      <c r="I397">
        <v>119.85</v>
      </c>
      <c r="J397">
        <v>1122</v>
      </c>
    </row>
    <row r="398" spans="1:10" x14ac:dyDescent="0.35">
      <c r="A398" s="1">
        <v>45117</v>
      </c>
      <c r="B398" t="s">
        <v>15</v>
      </c>
      <c r="C398" t="s">
        <v>11</v>
      </c>
      <c r="D398">
        <v>2235</v>
      </c>
      <c r="E398">
        <v>1750</v>
      </c>
      <c r="F398">
        <v>1308</v>
      </c>
      <c r="G398">
        <v>27</v>
      </c>
      <c r="H398">
        <v>112</v>
      </c>
      <c r="I398">
        <v>178.75</v>
      </c>
      <c r="J398">
        <v>732</v>
      </c>
    </row>
    <row r="399" spans="1:10" x14ac:dyDescent="0.35">
      <c r="A399" s="1">
        <v>45117</v>
      </c>
      <c r="B399" t="s">
        <v>15</v>
      </c>
      <c r="C399" t="s">
        <v>12</v>
      </c>
      <c r="D399">
        <v>1991</v>
      </c>
      <c r="E399">
        <v>1286</v>
      </c>
      <c r="F399">
        <v>2203</v>
      </c>
      <c r="G399">
        <v>12</v>
      </c>
      <c r="H399">
        <v>735</v>
      </c>
      <c r="I399">
        <v>175.77</v>
      </c>
      <c r="J399">
        <v>404</v>
      </c>
    </row>
    <row r="400" spans="1:10" x14ac:dyDescent="0.35">
      <c r="A400" s="1">
        <v>45117</v>
      </c>
      <c r="B400" t="s">
        <v>16</v>
      </c>
      <c r="C400" t="s">
        <v>11</v>
      </c>
      <c r="D400">
        <v>11146</v>
      </c>
      <c r="E400">
        <v>9415</v>
      </c>
      <c r="F400">
        <v>4109</v>
      </c>
      <c r="G400">
        <v>130</v>
      </c>
      <c r="H400">
        <v>40</v>
      </c>
      <c r="I400">
        <v>52.11</v>
      </c>
      <c r="J400">
        <v>3001</v>
      </c>
    </row>
    <row r="401" spans="1:10" x14ac:dyDescent="0.35">
      <c r="A401" s="1">
        <v>45117</v>
      </c>
      <c r="B401" t="s">
        <v>16</v>
      </c>
      <c r="C401" t="s">
        <v>12</v>
      </c>
      <c r="D401">
        <v>7556</v>
      </c>
      <c r="E401">
        <v>4978</v>
      </c>
      <c r="F401">
        <v>3582</v>
      </c>
      <c r="G401">
        <v>50</v>
      </c>
      <c r="H401">
        <v>83</v>
      </c>
      <c r="I401">
        <v>73.25</v>
      </c>
      <c r="J401">
        <v>1907</v>
      </c>
    </row>
    <row r="402" spans="1:10" x14ac:dyDescent="0.35">
      <c r="A402" s="1">
        <v>45118</v>
      </c>
      <c r="B402" t="s">
        <v>10</v>
      </c>
      <c r="C402" t="s">
        <v>11</v>
      </c>
      <c r="D402">
        <v>11223</v>
      </c>
      <c r="E402">
        <v>9995</v>
      </c>
      <c r="F402">
        <v>4717</v>
      </c>
      <c r="G402">
        <v>149</v>
      </c>
      <c r="H402">
        <v>33</v>
      </c>
      <c r="I402">
        <v>97.09</v>
      </c>
      <c r="J402">
        <v>3035</v>
      </c>
    </row>
    <row r="403" spans="1:10" x14ac:dyDescent="0.35">
      <c r="A403" s="1">
        <v>45118</v>
      </c>
      <c r="B403" t="s">
        <v>10</v>
      </c>
      <c r="C403" t="s">
        <v>12</v>
      </c>
      <c r="D403">
        <v>9520</v>
      </c>
      <c r="E403">
        <v>3686</v>
      </c>
      <c r="F403">
        <v>3701</v>
      </c>
      <c r="G403">
        <v>29</v>
      </c>
      <c r="H403">
        <v>42</v>
      </c>
      <c r="I403">
        <v>63.71</v>
      </c>
      <c r="J403">
        <v>2099</v>
      </c>
    </row>
    <row r="404" spans="1:10" x14ac:dyDescent="0.35">
      <c r="A404" s="1">
        <v>45118</v>
      </c>
      <c r="B404" t="s">
        <v>13</v>
      </c>
      <c r="C404" t="s">
        <v>11</v>
      </c>
      <c r="D404">
        <v>10355</v>
      </c>
      <c r="E404">
        <v>6264</v>
      </c>
      <c r="F404">
        <v>5625</v>
      </c>
      <c r="G404">
        <v>61</v>
      </c>
      <c r="H404">
        <v>74</v>
      </c>
      <c r="I404">
        <v>73.180000000000007</v>
      </c>
      <c r="J404">
        <v>3803</v>
      </c>
    </row>
    <row r="405" spans="1:10" x14ac:dyDescent="0.35">
      <c r="A405" s="1">
        <v>45118</v>
      </c>
      <c r="B405" t="s">
        <v>13</v>
      </c>
      <c r="C405" t="s">
        <v>12</v>
      </c>
      <c r="D405">
        <v>3230</v>
      </c>
      <c r="E405">
        <v>1128</v>
      </c>
      <c r="F405">
        <v>1491</v>
      </c>
      <c r="G405">
        <v>17</v>
      </c>
      <c r="H405">
        <v>67</v>
      </c>
      <c r="I405">
        <v>79.650000000000006</v>
      </c>
      <c r="J405">
        <v>637</v>
      </c>
    </row>
    <row r="406" spans="1:10" x14ac:dyDescent="0.35">
      <c r="A406" s="1">
        <v>45118</v>
      </c>
      <c r="B406" t="s">
        <v>14</v>
      </c>
      <c r="C406" t="s">
        <v>11</v>
      </c>
      <c r="D406">
        <v>5566</v>
      </c>
      <c r="E406">
        <v>4403</v>
      </c>
      <c r="F406">
        <v>2365</v>
      </c>
      <c r="G406">
        <v>22</v>
      </c>
      <c r="H406">
        <v>142</v>
      </c>
      <c r="I406">
        <v>48.09</v>
      </c>
      <c r="J406">
        <v>1266</v>
      </c>
    </row>
    <row r="407" spans="1:10" x14ac:dyDescent="0.35">
      <c r="A407" s="1">
        <v>45118</v>
      </c>
      <c r="B407" t="s">
        <v>14</v>
      </c>
      <c r="C407" t="s">
        <v>12</v>
      </c>
      <c r="D407">
        <v>7570</v>
      </c>
      <c r="E407">
        <v>3475</v>
      </c>
      <c r="F407">
        <v>2794</v>
      </c>
      <c r="G407">
        <v>30</v>
      </c>
      <c r="H407">
        <v>34</v>
      </c>
      <c r="I407">
        <v>52.01</v>
      </c>
      <c r="J407">
        <v>840</v>
      </c>
    </row>
    <row r="408" spans="1:10" x14ac:dyDescent="0.35">
      <c r="A408" s="1">
        <v>45118</v>
      </c>
      <c r="B408" t="s">
        <v>15</v>
      </c>
      <c r="C408" t="s">
        <v>11</v>
      </c>
      <c r="D408">
        <v>5647</v>
      </c>
      <c r="E408">
        <v>3960</v>
      </c>
      <c r="F408">
        <v>2980</v>
      </c>
      <c r="G408">
        <v>39</v>
      </c>
      <c r="H408">
        <v>137</v>
      </c>
      <c r="I408">
        <v>132.58000000000001</v>
      </c>
      <c r="J408">
        <v>1711</v>
      </c>
    </row>
    <row r="409" spans="1:10" x14ac:dyDescent="0.35">
      <c r="A409" s="1">
        <v>45118</v>
      </c>
      <c r="B409" t="s">
        <v>15</v>
      </c>
      <c r="C409" t="s">
        <v>12</v>
      </c>
      <c r="D409">
        <v>3744</v>
      </c>
      <c r="E409">
        <v>1630</v>
      </c>
      <c r="F409">
        <v>1502</v>
      </c>
      <c r="G409">
        <v>11</v>
      </c>
      <c r="H409">
        <v>46</v>
      </c>
      <c r="I409">
        <v>139.44999999999999</v>
      </c>
      <c r="J409">
        <v>1126</v>
      </c>
    </row>
    <row r="410" spans="1:10" x14ac:dyDescent="0.35">
      <c r="A410" s="1">
        <v>45118</v>
      </c>
      <c r="B410" t="s">
        <v>16</v>
      </c>
      <c r="C410" t="s">
        <v>11</v>
      </c>
      <c r="D410">
        <v>10500</v>
      </c>
      <c r="E410">
        <v>6620</v>
      </c>
      <c r="F410">
        <v>4349</v>
      </c>
      <c r="G410">
        <v>45</v>
      </c>
      <c r="H410">
        <v>79</v>
      </c>
      <c r="I410">
        <v>42.61</v>
      </c>
      <c r="J410">
        <v>2116</v>
      </c>
    </row>
    <row r="411" spans="1:10" x14ac:dyDescent="0.35">
      <c r="A411" s="1">
        <v>45118</v>
      </c>
      <c r="B411" t="s">
        <v>16</v>
      </c>
      <c r="C411" t="s">
        <v>12</v>
      </c>
      <c r="D411">
        <v>7016</v>
      </c>
      <c r="E411">
        <v>4633</v>
      </c>
      <c r="F411">
        <v>2194</v>
      </c>
      <c r="G411">
        <v>75</v>
      </c>
      <c r="H411">
        <v>84</v>
      </c>
      <c r="I411">
        <v>132.88</v>
      </c>
      <c r="J411">
        <v>920</v>
      </c>
    </row>
    <row r="412" spans="1:10" x14ac:dyDescent="0.35">
      <c r="A412" s="1">
        <v>45119</v>
      </c>
      <c r="B412" t="s">
        <v>10</v>
      </c>
      <c r="C412" t="s">
        <v>11</v>
      </c>
      <c r="D412">
        <v>14540</v>
      </c>
      <c r="E412">
        <v>9353</v>
      </c>
      <c r="F412">
        <v>7453</v>
      </c>
      <c r="G412">
        <v>132</v>
      </c>
      <c r="H412">
        <v>87</v>
      </c>
      <c r="I412">
        <v>151.54</v>
      </c>
      <c r="J412">
        <v>2813</v>
      </c>
    </row>
    <row r="413" spans="1:10" x14ac:dyDescent="0.35">
      <c r="A413" s="1">
        <v>45119</v>
      </c>
      <c r="B413" t="s">
        <v>10</v>
      </c>
      <c r="C413" t="s">
        <v>12</v>
      </c>
      <c r="D413">
        <v>5519</v>
      </c>
      <c r="E413">
        <v>2040</v>
      </c>
      <c r="F413">
        <v>2986</v>
      </c>
      <c r="G413">
        <v>12</v>
      </c>
      <c r="H413">
        <v>135</v>
      </c>
      <c r="I413">
        <v>71.86</v>
      </c>
      <c r="J413">
        <v>1060</v>
      </c>
    </row>
    <row r="414" spans="1:10" x14ac:dyDescent="0.35">
      <c r="A414" s="1">
        <v>45119</v>
      </c>
      <c r="B414" t="s">
        <v>13</v>
      </c>
      <c r="C414" t="s">
        <v>11</v>
      </c>
      <c r="D414">
        <v>5093</v>
      </c>
      <c r="E414">
        <v>4182</v>
      </c>
      <c r="F414">
        <v>2056</v>
      </c>
      <c r="G414">
        <v>30</v>
      </c>
      <c r="H414">
        <v>61</v>
      </c>
      <c r="I414">
        <v>34.61</v>
      </c>
      <c r="J414">
        <v>927</v>
      </c>
    </row>
    <row r="415" spans="1:10" x14ac:dyDescent="0.35">
      <c r="A415" s="1">
        <v>45119</v>
      </c>
      <c r="B415" t="s">
        <v>13</v>
      </c>
      <c r="C415" t="s">
        <v>12</v>
      </c>
      <c r="D415">
        <v>5501</v>
      </c>
      <c r="E415">
        <v>4200</v>
      </c>
      <c r="F415">
        <v>3213</v>
      </c>
      <c r="G415">
        <v>48</v>
      </c>
      <c r="H415">
        <v>30</v>
      </c>
      <c r="I415">
        <v>98.6</v>
      </c>
      <c r="J415">
        <v>1681</v>
      </c>
    </row>
    <row r="416" spans="1:10" x14ac:dyDescent="0.35">
      <c r="A416" s="1">
        <v>45119</v>
      </c>
      <c r="B416" t="s">
        <v>14</v>
      </c>
      <c r="C416" t="s">
        <v>11</v>
      </c>
      <c r="D416">
        <v>3691</v>
      </c>
      <c r="E416">
        <v>3294</v>
      </c>
      <c r="F416">
        <v>1973</v>
      </c>
      <c r="G416">
        <v>17</v>
      </c>
      <c r="H416">
        <v>47</v>
      </c>
      <c r="I416">
        <v>175.09</v>
      </c>
      <c r="J416">
        <v>702</v>
      </c>
    </row>
    <row r="417" spans="1:10" x14ac:dyDescent="0.35">
      <c r="A417" s="1">
        <v>45119</v>
      </c>
      <c r="B417" t="s">
        <v>14</v>
      </c>
      <c r="C417" t="s">
        <v>12</v>
      </c>
      <c r="D417">
        <v>3918</v>
      </c>
      <c r="E417">
        <v>1215</v>
      </c>
      <c r="F417">
        <v>1764</v>
      </c>
      <c r="G417">
        <v>14</v>
      </c>
      <c r="H417">
        <v>107</v>
      </c>
      <c r="I417">
        <v>23.53</v>
      </c>
      <c r="J417">
        <v>1090</v>
      </c>
    </row>
    <row r="418" spans="1:10" x14ac:dyDescent="0.35">
      <c r="A418" s="1">
        <v>45119</v>
      </c>
      <c r="B418" t="s">
        <v>15</v>
      </c>
      <c r="C418" t="s">
        <v>11</v>
      </c>
      <c r="D418">
        <v>2172</v>
      </c>
      <c r="E418">
        <v>1004</v>
      </c>
      <c r="F418">
        <v>1942</v>
      </c>
      <c r="G418">
        <v>11</v>
      </c>
      <c r="H418">
        <v>74</v>
      </c>
      <c r="I418">
        <v>80.430000000000007</v>
      </c>
      <c r="J418">
        <v>534</v>
      </c>
    </row>
    <row r="419" spans="1:10" x14ac:dyDescent="0.35">
      <c r="A419" s="1">
        <v>45119</v>
      </c>
      <c r="B419" t="s">
        <v>15</v>
      </c>
      <c r="C419" t="s">
        <v>12</v>
      </c>
      <c r="D419">
        <v>1997</v>
      </c>
      <c r="E419">
        <v>1744</v>
      </c>
      <c r="F419">
        <v>1005</v>
      </c>
      <c r="G419">
        <v>25</v>
      </c>
      <c r="H419">
        <v>48</v>
      </c>
      <c r="I419">
        <v>126</v>
      </c>
      <c r="J419">
        <v>584</v>
      </c>
    </row>
    <row r="420" spans="1:10" x14ac:dyDescent="0.35">
      <c r="A420" s="1">
        <v>45119</v>
      </c>
      <c r="B420" t="s">
        <v>16</v>
      </c>
      <c r="C420" t="s">
        <v>11</v>
      </c>
      <c r="D420">
        <v>5441</v>
      </c>
      <c r="E420">
        <v>1583</v>
      </c>
      <c r="F420">
        <v>3159</v>
      </c>
      <c r="G420">
        <v>14</v>
      </c>
      <c r="H420">
        <v>33</v>
      </c>
      <c r="I420">
        <v>17.010000000000002</v>
      </c>
      <c r="J420">
        <v>2157</v>
      </c>
    </row>
    <row r="421" spans="1:10" x14ac:dyDescent="0.35">
      <c r="A421" s="1">
        <v>45119</v>
      </c>
      <c r="B421" t="s">
        <v>16</v>
      </c>
      <c r="C421" t="s">
        <v>12</v>
      </c>
      <c r="D421">
        <v>3824</v>
      </c>
      <c r="E421">
        <v>1366</v>
      </c>
      <c r="F421">
        <v>1170</v>
      </c>
      <c r="G421">
        <v>10</v>
      </c>
      <c r="H421">
        <v>96</v>
      </c>
      <c r="I421">
        <v>117.51</v>
      </c>
      <c r="J421">
        <v>557</v>
      </c>
    </row>
    <row r="422" spans="1:10" x14ac:dyDescent="0.35">
      <c r="A422" s="1">
        <v>45120</v>
      </c>
      <c r="B422" t="s">
        <v>10</v>
      </c>
      <c r="C422" t="s">
        <v>11</v>
      </c>
      <c r="D422">
        <v>7351</v>
      </c>
      <c r="E422">
        <v>4042</v>
      </c>
      <c r="F422">
        <v>3541</v>
      </c>
      <c r="G422">
        <v>62</v>
      </c>
      <c r="H422">
        <v>134</v>
      </c>
      <c r="I422">
        <v>86.41</v>
      </c>
      <c r="J422">
        <v>1456</v>
      </c>
    </row>
    <row r="423" spans="1:10" x14ac:dyDescent="0.35">
      <c r="A423" s="1">
        <v>45120</v>
      </c>
      <c r="B423" t="s">
        <v>10</v>
      </c>
      <c r="C423" t="s">
        <v>12</v>
      </c>
      <c r="D423">
        <v>3011</v>
      </c>
      <c r="E423">
        <v>2191</v>
      </c>
      <c r="F423">
        <v>1089</v>
      </c>
      <c r="G423">
        <v>13</v>
      </c>
      <c r="H423">
        <v>110</v>
      </c>
      <c r="I423">
        <v>125.79</v>
      </c>
      <c r="J423">
        <v>513</v>
      </c>
    </row>
    <row r="424" spans="1:10" x14ac:dyDescent="0.35">
      <c r="A424" s="1">
        <v>45120</v>
      </c>
      <c r="B424" t="s">
        <v>13</v>
      </c>
      <c r="C424" t="s">
        <v>11</v>
      </c>
      <c r="D424">
        <v>10501</v>
      </c>
      <c r="E424">
        <v>4025</v>
      </c>
      <c r="F424">
        <v>5516</v>
      </c>
      <c r="G424">
        <v>40</v>
      </c>
      <c r="H424">
        <v>52</v>
      </c>
      <c r="I424">
        <v>170.31</v>
      </c>
      <c r="J424">
        <v>1906</v>
      </c>
    </row>
    <row r="425" spans="1:10" x14ac:dyDescent="0.35">
      <c r="A425" s="1">
        <v>45120</v>
      </c>
      <c r="B425" t="s">
        <v>13</v>
      </c>
      <c r="C425" t="s">
        <v>12</v>
      </c>
      <c r="D425">
        <v>3782</v>
      </c>
      <c r="E425">
        <v>3577</v>
      </c>
      <c r="F425">
        <v>1723</v>
      </c>
      <c r="G425">
        <v>21</v>
      </c>
      <c r="H425">
        <v>34</v>
      </c>
      <c r="I425">
        <v>176.53</v>
      </c>
      <c r="J425">
        <v>656</v>
      </c>
    </row>
    <row r="426" spans="1:10" x14ac:dyDescent="0.35">
      <c r="A426" s="1">
        <v>45120</v>
      </c>
      <c r="B426" t="s">
        <v>14</v>
      </c>
      <c r="C426" t="s">
        <v>11</v>
      </c>
      <c r="D426">
        <v>10781</v>
      </c>
      <c r="E426">
        <v>8315</v>
      </c>
      <c r="F426">
        <v>4601</v>
      </c>
      <c r="G426">
        <v>110</v>
      </c>
      <c r="H426">
        <v>58</v>
      </c>
      <c r="I426">
        <v>48.88</v>
      </c>
      <c r="J426">
        <v>2098</v>
      </c>
    </row>
    <row r="427" spans="1:10" x14ac:dyDescent="0.35">
      <c r="A427" s="1">
        <v>45120</v>
      </c>
      <c r="B427" t="s">
        <v>14</v>
      </c>
      <c r="C427" t="s">
        <v>12</v>
      </c>
      <c r="D427">
        <v>7646</v>
      </c>
      <c r="E427">
        <v>3313</v>
      </c>
      <c r="F427">
        <v>3800</v>
      </c>
      <c r="G427">
        <v>28</v>
      </c>
      <c r="H427">
        <v>32</v>
      </c>
      <c r="I427">
        <v>43.4</v>
      </c>
      <c r="J427">
        <v>2796</v>
      </c>
    </row>
    <row r="428" spans="1:10" x14ac:dyDescent="0.35">
      <c r="A428" s="1">
        <v>45120</v>
      </c>
      <c r="B428" t="s">
        <v>15</v>
      </c>
      <c r="C428" t="s">
        <v>11</v>
      </c>
      <c r="D428">
        <v>1955</v>
      </c>
      <c r="E428">
        <v>1809</v>
      </c>
      <c r="F428">
        <v>1854</v>
      </c>
      <c r="G428">
        <v>15</v>
      </c>
      <c r="H428">
        <v>696</v>
      </c>
      <c r="I428">
        <v>106.31</v>
      </c>
      <c r="J428">
        <v>365</v>
      </c>
    </row>
    <row r="429" spans="1:10" x14ac:dyDescent="0.35">
      <c r="A429" s="1">
        <v>45120</v>
      </c>
      <c r="B429" t="s">
        <v>15</v>
      </c>
      <c r="C429" t="s">
        <v>12</v>
      </c>
      <c r="D429">
        <v>1570</v>
      </c>
      <c r="E429">
        <v>1172</v>
      </c>
      <c r="F429">
        <v>1949</v>
      </c>
      <c r="G429">
        <v>11</v>
      </c>
      <c r="H429">
        <v>701</v>
      </c>
      <c r="I429">
        <v>66.63</v>
      </c>
      <c r="J429">
        <v>370</v>
      </c>
    </row>
    <row r="430" spans="1:10" x14ac:dyDescent="0.35">
      <c r="A430" s="1">
        <v>45120</v>
      </c>
      <c r="B430" t="s">
        <v>16</v>
      </c>
      <c r="C430" t="s">
        <v>11</v>
      </c>
      <c r="D430">
        <v>5517</v>
      </c>
      <c r="E430">
        <v>2315</v>
      </c>
      <c r="F430">
        <v>1943</v>
      </c>
      <c r="G430">
        <v>12</v>
      </c>
      <c r="H430">
        <v>49</v>
      </c>
      <c r="I430">
        <v>170.88</v>
      </c>
      <c r="J430">
        <v>685</v>
      </c>
    </row>
    <row r="431" spans="1:10" x14ac:dyDescent="0.35">
      <c r="A431" s="1">
        <v>45120</v>
      </c>
      <c r="B431" t="s">
        <v>16</v>
      </c>
      <c r="C431" t="s">
        <v>12</v>
      </c>
      <c r="D431">
        <v>3903</v>
      </c>
      <c r="E431">
        <v>3575</v>
      </c>
      <c r="F431">
        <v>2075</v>
      </c>
      <c r="G431">
        <v>18</v>
      </c>
      <c r="H431">
        <v>31</v>
      </c>
      <c r="I431">
        <v>118.54</v>
      </c>
      <c r="J431">
        <v>1206</v>
      </c>
    </row>
    <row r="432" spans="1:10" x14ac:dyDescent="0.35">
      <c r="A432" s="1">
        <v>45121</v>
      </c>
      <c r="B432" t="s">
        <v>10</v>
      </c>
      <c r="C432" t="s">
        <v>11</v>
      </c>
      <c r="D432">
        <v>8456</v>
      </c>
      <c r="E432">
        <v>5578</v>
      </c>
      <c r="F432">
        <v>3679</v>
      </c>
      <c r="G432">
        <v>44</v>
      </c>
      <c r="H432">
        <v>60</v>
      </c>
      <c r="I432">
        <v>116.85</v>
      </c>
      <c r="J432">
        <v>2689</v>
      </c>
    </row>
    <row r="433" spans="1:10" x14ac:dyDescent="0.35">
      <c r="A433" s="1">
        <v>45121</v>
      </c>
      <c r="B433" t="s">
        <v>10</v>
      </c>
      <c r="C433" t="s">
        <v>12</v>
      </c>
      <c r="D433">
        <v>7243</v>
      </c>
      <c r="E433">
        <v>5244</v>
      </c>
      <c r="F433">
        <v>2394</v>
      </c>
      <c r="G433">
        <v>86</v>
      </c>
      <c r="H433">
        <v>41</v>
      </c>
      <c r="I433">
        <v>138.47999999999999</v>
      </c>
      <c r="J433">
        <v>727</v>
      </c>
    </row>
    <row r="434" spans="1:10" x14ac:dyDescent="0.35">
      <c r="A434" s="1">
        <v>45121</v>
      </c>
      <c r="B434" t="s">
        <v>13</v>
      </c>
      <c r="C434" t="s">
        <v>11</v>
      </c>
      <c r="D434">
        <v>7376</v>
      </c>
      <c r="E434">
        <v>6057</v>
      </c>
      <c r="F434">
        <v>4021</v>
      </c>
      <c r="G434">
        <v>91</v>
      </c>
      <c r="H434">
        <v>42</v>
      </c>
      <c r="I434">
        <v>52.81</v>
      </c>
      <c r="J434">
        <v>2134</v>
      </c>
    </row>
    <row r="435" spans="1:10" x14ac:dyDescent="0.35">
      <c r="A435" s="1">
        <v>45121</v>
      </c>
      <c r="B435" t="s">
        <v>13</v>
      </c>
      <c r="C435" t="s">
        <v>12</v>
      </c>
      <c r="D435">
        <v>3655</v>
      </c>
      <c r="E435">
        <v>2555</v>
      </c>
      <c r="F435">
        <v>1880</v>
      </c>
      <c r="G435">
        <v>20</v>
      </c>
      <c r="H435">
        <v>100</v>
      </c>
      <c r="I435">
        <v>23.25</v>
      </c>
      <c r="J435">
        <v>641</v>
      </c>
    </row>
    <row r="436" spans="1:10" x14ac:dyDescent="0.35">
      <c r="A436" s="1">
        <v>45121</v>
      </c>
      <c r="B436" t="s">
        <v>14</v>
      </c>
      <c r="C436" t="s">
        <v>11</v>
      </c>
      <c r="D436">
        <v>11248</v>
      </c>
      <c r="E436">
        <v>2811</v>
      </c>
      <c r="F436">
        <v>4098</v>
      </c>
      <c r="G436">
        <v>22</v>
      </c>
      <c r="H436">
        <v>47</v>
      </c>
      <c r="I436">
        <v>73.55</v>
      </c>
      <c r="J436">
        <v>1729</v>
      </c>
    </row>
    <row r="437" spans="1:10" x14ac:dyDescent="0.35">
      <c r="A437" s="1">
        <v>45121</v>
      </c>
      <c r="B437" t="s">
        <v>14</v>
      </c>
      <c r="C437" t="s">
        <v>12</v>
      </c>
      <c r="D437">
        <v>4016</v>
      </c>
      <c r="E437">
        <v>3083</v>
      </c>
      <c r="F437">
        <v>2016</v>
      </c>
      <c r="G437">
        <v>37</v>
      </c>
      <c r="H437">
        <v>95</v>
      </c>
      <c r="I437">
        <v>161.02000000000001</v>
      </c>
      <c r="J437">
        <v>678</v>
      </c>
    </row>
    <row r="438" spans="1:10" x14ac:dyDescent="0.35">
      <c r="A438" s="1">
        <v>45121</v>
      </c>
      <c r="B438" t="s">
        <v>15</v>
      </c>
      <c r="C438" t="s">
        <v>11</v>
      </c>
      <c r="D438">
        <v>4763</v>
      </c>
      <c r="E438">
        <v>3966</v>
      </c>
      <c r="F438">
        <v>2207</v>
      </c>
      <c r="G438">
        <v>63</v>
      </c>
      <c r="H438">
        <v>126</v>
      </c>
      <c r="I438">
        <v>56.8</v>
      </c>
      <c r="J438">
        <v>861</v>
      </c>
    </row>
    <row r="439" spans="1:10" x14ac:dyDescent="0.35">
      <c r="A439" s="1">
        <v>45121</v>
      </c>
      <c r="B439" t="s">
        <v>15</v>
      </c>
      <c r="C439" t="s">
        <v>12</v>
      </c>
      <c r="D439">
        <v>1120</v>
      </c>
      <c r="E439">
        <v>690</v>
      </c>
      <c r="F439">
        <v>1674</v>
      </c>
      <c r="G439">
        <v>57</v>
      </c>
      <c r="H439">
        <v>660</v>
      </c>
      <c r="I439">
        <v>70.05</v>
      </c>
      <c r="J439">
        <v>329</v>
      </c>
    </row>
    <row r="440" spans="1:10" x14ac:dyDescent="0.35">
      <c r="A440" s="1">
        <v>45121</v>
      </c>
      <c r="B440" t="s">
        <v>16</v>
      </c>
      <c r="C440" t="s">
        <v>11</v>
      </c>
      <c r="D440">
        <v>5416</v>
      </c>
      <c r="E440">
        <v>2736</v>
      </c>
      <c r="F440">
        <v>2708</v>
      </c>
      <c r="G440">
        <v>42</v>
      </c>
      <c r="H440">
        <v>94</v>
      </c>
      <c r="I440">
        <v>55.98</v>
      </c>
      <c r="J440">
        <v>1772</v>
      </c>
    </row>
    <row r="441" spans="1:10" x14ac:dyDescent="0.35">
      <c r="A441" s="1">
        <v>45121</v>
      </c>
      <c r="B441" t="s">
        <v>16</v>
      </c>
      <c r="C441" t="s">
        <v>12</v>
      </c>
      <c r="D441">
        <v>4123</v>
      </c>
      <c r="E441">
        <v>3464</v>
      </c>
      <c r="F441">
        <v>1899</v>
      </c>
      <c r="G441">
        <v>37</v>
      </c>
      <c r="H441">
        <v>94</v>
      </c>
      <c r="I441">
        <v>151.08000000000001</v>
      </c>
      <c r="J441">
        <v>693</v>
      </c>
    </row>
    <row r="442" spans="1:10" x14ac:dyDescent="0.35">
      <c r="A442" s="1">
        <v>45122</v>
      </c>
      <c r="B442" t="s">
        <v>10</v>
      </c>
      <c r="C442" t="s">
        <v>11</v>
      </c>
      <c r="D442">
        <v>11546</v>
      </c>
      <c r="E442">
        <v>9298</v>
      </c>
      <c r="F442">
        <v>4160</v>
      </c>
      <c r="G442">
        <v>111</v>
      </c>
      <c r="H442">
        <v>83</v>
      </c>
      <c r="I442">
        <v>96.03</v>
      </c>
      <c r="J442">
        <v>2353</v>
      </c>
    </row>
    <row r="443" spans="1:10" x14ac:dyDescent="0.35">
      <c r="A443" s="1">
        <v>45122</v>
      </c>
      <c r="B443" t="s">
        <v>10</v>
      </c>
      <c r="C443" t="s">
        <v>12</v>
      </c>
      <c r="D443">
        <v>7802</v>
      </c>
      <c r="E443">
        <v>3052</v>
      </c>
      <c r="F443">
        <v>4009</v>
      </c>
      <c r="G443">
        <v>25</v>
      </c>
      <c r="H443">
        <v>121</v>
      </c>
      <c r="I443">
        <v>41.32</v>
      </c>
      <c r="J443">
        <v>1223</v>
      </c>
    </row>
    <row r="444" spans="1:10" x14ac:dyDescent="0.35">
      <c r="A444" s="1">
        <v>45122</v>
      </c>
      <c r="B444" t="s">
        <v>13</v>
      </c>
      <c r="C444" t="s">
        <v>11</v>
      </c>
      <c r="D444">
        <v>6062</v>
      </c>
      <c r="E444">
        <v>3709</v>
      </c>
      <c r="F444">
        <v>3533</v>
      </c>
      <c r="G444">
        <v>53</v>
      </c>
      <c r="H444">
        <v>48</v>
      </c>
      <c r="I444">
        <v>128.05000000000001</v>
      </c>
      <c r="J444">
        <v>2247</v>
      </c>
    </row>
    <row r="445" spans="1:10" x14ac:dyDescent="0.35">
      <c r="A445" s="1">
        <v>45122</v>
      </c>
      <c r="B445" t="s">
        <v>13</v>
      </c>
      <c r="C445" t="s">
        <v>12</v>
      </c>
      <c r="D445">
        <v>2321</v>
      </c>
      <c r="E445">
        <v>1903</v>
      </c>
      <c r="F445">
        <v>1340</v>
      </c>
      <c r="G445">
        <v>10</v>
      </c>
      <c r="H445">
        <v>101</v>
      </c>
      <c r="I445">
        <v>73.89</v>
      </c>
      <c r="J445">
        <v>669</v>
      </c>
    </row>
    <row r="446" spans="1:10" x14ac:dyDescent="0.35">
      <c r="A446" s="1">
        <v>45122</v>
      </c>
      <c r="B446" t="s">
        <v>14</v>
      </c>
      <c r="C446" t="s">
        <v>11</v>
      </c>
      <c r="D446">
        <v>9949</v>
      </c>
      <c r="E446">
        <v>2936</v>
      </c>
      <c r="F446">
        <v>5456</v>
      </c>
      <c r="G446">
        <v>45</v>
      </c>
      <c r="H446">
        <v>59</v>
      </c>
      <c r="I446">
        <v>68.91</v>
      </c>
      <c r="J446">
        <v>2167</v>
      </c>
    </row>
    <row r="447" spans="1:10" x14ac:dyDescent="0.35">
      <c r="A447" s="1">
        <v>45122</v>
      </c>
      <c r="B447" t="s">
        <v>14</v>
      </c>
      <c r="C447" t="s">
        <v>12</v>
      </c>
      <c r="D447">
        <v>4448</v>
      </c>
      <c r="E447">
        <v>2264</v>
      </c>
      <c r="F447">
        <v>1644</v>
      </c>
      <c r="G447">
        <v>18</v>
      </c>
      <c r="H447">
        <v>84</v>
      </c>
      <c r="I447">
        <v>106.31</v>
      </c>
      <c r="J447">
        <v>729</v>
      </c>
    </row>
    <row r="448" spans="1:10" x14ac:dyDescent="0.35">
      <c r="A448" s="1">
        <v>45122</v>
      </c>
      <c r="B448" t="s">
        <v>15</v>
      </c>
      <c r="C448" t="s">
        <v>11</v>
      </c>
      <c r="D448">
        <v>2278</v>
      </c>
      <c r="E448">
        <v>1119</v>
      </c>
      <c r="F448">
        <v>1226</v>
      </c>
      <c r="G448">
        <v>12</v>
      </c>
      <c r="H448">
        <v>124</v>
      </c>
      <c r="I448">
        <v>17.190000000000001</v>
      </c>
      <c r="J448">
        <v>856</v>
      </c>
    </row>
    <row r="449" spans="1:10" x14ac:dyDescent="0.35">
      <c r="A449" s="1">
        <v>45122</v>
      </c>
      <c r="B449" t="s">
        <v>15</v>
      </c>
      <c r="C449" t="s">
        <v>12</v>
      </c>
      <c r="D449">
        <v>3139</v>
      </c>
      <c r="E449">
        <v>1116</v>
      </c>
      <c r="F449">
        <v>1111</v>
      </c>
      <c r="G449">
        <v>14</v>
      </c>
      <c r="H449">
        <v>58</v>
      </c>
      <c r="I449">
        <v>42.27</v>
      </c>
      <c r="J449">
        <v>680</v>
      </c>
    </row>
    <row r="450" spans="1:10" x14ac:dyDescent="0.35">
      <c r="A450" s="1">
        <v>45122</v>
      </c>
      <c r="B450" t="s">
        <v>16</v>
      </c>
      <c r="C450" t="s">
        <v>11</v>
      </c>
      <c r="D450">
        <v>5212</v>
      </c>
      <c r="E450">
        <v>4489</v>
      </c>
      <c r="F450">
        <v>2798</v>
      </c>
      <c r="G450">
        <v>50</v>
      </c>
      <c r="H450">
        <v>37</v>
      </c>
      <c r="I450">
        <v>83.34</v>
      </c>
      <c r="J450">
        <v>1213</v>
      </c>
    </row>
    <row r="451" spans="1:10" x14ac:dyDescent="0.35">
      <c r="A451" s="1">
        <v>45122</v>
      </c>
      <c r="B451" t="s">
        <v>16</v>
      </c>
      <c r="C451" t="s">
        <v>12</v>
      </c>
      <c r="D451">
        <v>7900</v>
      </c>
      <c r="E451">
        <v>6963</v>
      </c>
      <c r="F451">
        <v>3210</v>
      </c>
      <c r="G451">
        <v>54</v>
      </c>
      <c r="H451">
        <v>120</v>
      </c>
      <c r="I451">
        <v>49.96</v>
      </c>
      <c r="J451">
        <v>1115</v>
      </c>
    </row>
    <row r="452" spans="1:10" x14ac:dyDescent="0.35">
      <c r="A452" s="1">
        <v>45123</v>
      </c>
      <c r="B452" t="s">
        <v>10</v>
      </c>
      <c r="C452" t="s">
        <v>11</v>
      </c>
      <c r="D452">
        <v>10960</v>
      </c>
      <c r="E452">
        <v>4566</v>
      </c>
      <c r="F452">
        <v>4574</v>
      </c>
      <c r="G452">
        <v>26</v>
      </c>
      <c r="H452">
        <v>45</v>
      </c>
      <c r="I452">
        <v>116.69</v>
      </c>
      <c r="J452">
        <v>1854</v>
      </c>
    </row>
    <row r="453" spans="1:10" x14ac:dyDescent="0.35">
      <c r="A453" s="1">
        <v>45123</v>
      </c>
      <c r="B453" t="s">
        <v>10</v>
      </c>
      <c r="C453" t="s">
        <v>12</v>
      </c>
      <c r="D453">
        <v>6377</v>
      </c>
      <c r="E453">
        <v>3434</v>
      </c>
      <c r="F453">
        <v>3580</v>
      </c>
      <c r="G453">
        <v>47</v>
      </c>
      <c r="H453">
        <v>54</v>
      </c>
      <c r="I453">
        <v>82.97</v>
      </c>
      <c r="J453">
        <v>2168</v>
      </c>
    </row>
    <row r="454" spans="1:10" x14ac:dyDescent="0.35">
      <c r="A454" s="1">
        <v>45123</v>
      </c>
      <c r="B454" t="s">
        <v>13</v>
      </c>
      <c r="C454" t="s">
        <v>11</v>
      </c>
      <c r="D454">
        <v>7141</v>
      </c>
      <c r="E454">
        <v>4671</v>
      </c>
      <c r="F454">
        <v>4167</v>
      </c>
      <c r="G454">
        <v>24</v>
      </c>
      <c r="H454">
        <v>50</v>
      </c>
      <c r="I454">
        <v>70.64</v>
      </c>
      <c r="J454">
        <v>2556</v>
      </c>
    </row>
    <row r="455" spans="1:10" x14ac:dyDescent="0.35">
      <c r="A455" s="1">
        <v>45123</v>
      </c>
      <c r="B455" t="s">
        <v>13</v>
      </c>
      <c r="C455" t="s">
        <v>12</v>
      </c>
      <c r="D455">
        <v>3075</v>
      </c>
      <c r="E455">
        <v>2908</v>
      </c>
      <c r="F455">
        <v>1028</v>
      </c>
      <c r="G455">
        <v>32</v>
      </c>
      <c r="H455">
        <v>33</v>
      </c>
      <c r="I455">
        <v>98.79</v>
      </c>
      <c r="J455">
        <v>662</v>
      </c>
    </row>
    <row r="456" spans="1:10" x14ac:dyDescent="0.35">
      <c r="A456" s="1">
        <v>45123</v>
      </c>
      <c r="B456" t="s">
        <v>14</v>
      </c>
      <c r="C456" t="s">
        <v>11</v>
      </c>
      <c r="D456">
        <v>8407</v>
      </c>
      <c r="E456">
        <v>6718</v>
      </c>
      <c r="F456">
        <v>4684</v>
      </c>
      <c r="G456">
        <v>81</v>
      </c>
      <c r="H456">
        <v>77</v>
      </c>
      <c r="I456">
        <v>118.69</v>
      </c>
      <c r="J456">
        <v>2824</v>
      </c>
    </row>
    <row r="457" spans="1:10" x14ac:dyDescent="0.35">
      <c r="A457" s="1">
        <v>45123</v>
      </c>
      <c r="B457" t="s">
        <v>14</v>
      </c>
      <c r="C457" t="s">
        <v>12</v>
      </c>
      <c r="D457">
        <v>6262</v>
      </c>
      <c r="E457">
        <v>4725</v>
      </c>
      <c r="F457">
        <v>3252</v>
      </c>
      <c r="G457">
        <v>72</v>
      </c>
      <c r="H457">
        <v>77</v>
      </c>
      <c r="I457">
        <v>150.53</v>
      </c>
      <c r="J457">
        <v>1996</v>
      </c>
    </row>
    <row r="458" spans="1:10" x14ac:dyDescent="0.35">
      <c r="A458" s="1">
        <v>45123</v>
      </c>
      <c r="B458" t="s">
        <v>15</v>
      </c>
      <c r="C458" t="s">
        <v>11</v>
      </c>
      <c r="D458">
        <v>5901</v>
      </c>
      <c r="E458">
        <v>2281</v>
      </c>
      <c r="F458">
        <v>2276</v>
      </c>
      <c r="G458">
        <v>15</v>
      </c>
      <c r="H458">
        <v>74</v>
      </c>
      <c r="I458">
        <v>156.07</v>
      </c>
      <c r="J458">
        <v>1227</v>
      </c>
    </row>
    <row r="459" spans="1:10" x14ac:dyDescent="0.35">
      <c r="A459" s="1">
        <v>45123</v>
      </c>
      <c r="B459" t="s">
        <v>15</v>
      </c>
      <c r="C459" t="s">
        <v>12</v>
      </c>
      <c r="D459">
        <v>3543</v>
      </c>
      <c r="E459">
        <v>2086</v>
      </c>
      <c r="F459">
        <v>1498</v>
      </c>
      <c r="G459">
        <v>11</v>
      </c>
      <c r="H459">
        <v>79</v>
      </c>
      <c r="I459">
        <v>48.57</v>
      </c>
      <c r="J459">
        <v>886</v>
      </c>
    </row>
    <row r="460" spans="1:10" x14ac:dyDescent="0.35">
      <c r="A460" s="1">
        <v>45123</v>
      </c>
      <c r="B460" t="s">
        <v>16</v>
      </c>
      <c r="C460" t="s">
        <v>11</v>
      </c>
      <c r="D460">
        <v>10199</v>
      </c>
      <c r="E460">
        <v>2756</v>
      </c>
      <c r="F460">
        <v>3616</v>
      </c>
      <c r="G460">
        <v>29</v>
      </c>
      <c r="H460">
        <v>129</v>
      </c>
      <c r="I460">
        <v>121.97</v>
      </c>
      <c r="J460">
        <v>2294</v>
      </c>
    </row>
    <row r="461" spans="1:10" x14ac:dyDescent="0.35">
      <c r="A461" s="1">
        <v>45123</v>
      </c>
      <c r="B461" t="s">
        <v>16</v>
      </c>
      <c r="C461" t="s">
        <v>12</v>
      </c>
      <c r="D461">
        <v>3912</v>
      </c>
      <c r="E461">
        <v>2208</v>
      </c>
      <c r="F461">
        <v>2334</v>
      </c>
      <c r="G461">
        <v>24</v>
      </c>
      <c r="H461">
        <v>133</v>
      </c>
      <c r="I461">
        <v>67.989999999999995</v>
      </c>
      <c r="J461">
        <v>944</v>
      </c>
    </row>
    <row r="462" spans="1:10" x14ac:dyDescent="0.35">
      <c r="A462" s="1">
        <v>45124</v>
      </c>
      <c r="B462" t="s">
        <v>10</v>
      </c>
      <c r="C462" t="s">
        <v>11</v>
      </c>
      <c r="D462">
        <v>17246</v>
      </c>
      <c r="E462">
        <v>5008</v>
      </c>
      <c r="F462">
        <v>8321</v>
      </c>
      <c r="G462">
        <v>68</v>
      </c>
      <c r="H462">
        <v>143</v>
      </c>
      <c r="I462">
        <v>134.25</v>
      </c>
      <c r="J462">
        <v>5142</v>
      </c>
    </row>
    <row r="463" spans="1:10" x14ac:dyDescent="0.35">
      <c r="A463" s="1">
        <v>45124</v>
      </c>
      <c r="B463" t="s">
        <v>10</v>
      </c>
      <c r="C463" t="s">
        <v>12</v>
      </c>
      <c r="D463">
        <v>9831</v>
      </c>
      <c r="E463">
        <v>4836</v>
      </c>
      <c r="F463">
        <v>4068</v>
      </c>
      <c r="G463">
        <v>77</v>
      </c>
      <c r="H463">
        <v>59</v>
      </c>
      <c r="I463">
        <v>15.88</v>
      </c>
      <c r="J463">
        <v>2742</v>
      </c>
    </row>
    <row r="464" spans="1:10" x14ac:dyDescent="0.35">
      <c r="A464" s="1">
        <v>45124</v>
      </c>
      <c r="B464" t="s">
        <v>13</v>
      </c>
      <c r="C464" t="s">
        <v>11</v>
      </c>
      <c r="D464">
        <v>7375</v>
      </c>
      <c r="E464">
        <v>2276</v>
      </c>
      <c r="F464">
        <v>2320</v>
      </c>
      <c r="G464">
        <v>14</v>
      </c>
      <c r="H464">
        <v>50</v>
      </c>
      <c r="I464">
        <v>144.02000000000001</v>
      </c>
      <c r="J464">
        <v>1302</v>
      </c>
    </row>
    <row r="465" spans="1:10" x14ac:dyDescent="0.35">
      <c r="A465" s="1">
        <v>45124</v>
      </c>
      <c r="B465" t="s">
        <v>13</v>
      </c>
      <c r="C465" t="s">
        <v>12</v>
      </c>
      <c r="D465">
        <v>6018</v>
      </c>
      <c r="E465">
        <v>4923</v>
      </c>
      <c r="F465">
        <v>2059</v>
      </c>
      <c r="G465">
        <v>54</v>
      </c>
      <c r="H465">
        <v>51</v>
      </c>
      <c r="I465">
        <v>78.790000000000006</v>
      </c>
      <c r="J465">
        <v>1239</v>
      </c>
    </row>
    <row r="466" spans="1:10" x14ac:dyDescent="0.35">
      <c r="A466" s="1">
        <v>45124</v>
      </c>
      <c r="B466" t="s">
        <v>14</v>
      </c>
      <c r="C466" t="s">
        <v>11</v>
      </c>
      <c r="D466">
        <v>4898</v>
      </c>
      <c r="E466">
        <v>1863</v>
      </c>
      <c r="F466">
        <v>2571</v>
      </c>
      <c r="G466">
        <v>29</v>
      </c>
      <c r="H466">
        <v>58</v>
      </c>
      <c r="I466">
        <v>86.47</v>
      </c>
      <c r="J466">
        <v>1822</v>
      </c>
    </row>
    <row r="467" spans="1:10" x14ac:dyDescent="0.35">
      <c r="A467" s="1">
        <v>45124</v>
      </c>
      <c r="B467" t="s">
        <v>14</v>
      </c>
      <c r="C467" t="s">
        <v>12</v>
      </c>
      <c r="D467">
        <v>7258</v>
      </c>
      <c r="E467">
        <v>6388</v>
      </c>
      <c r="F467">
        <v>3554</v>
      </c>
      <c r="G467">
        <v>75</v>
      </c>
      <c r="H467">
        <v>147</v>
      </c>
      <c r="I467">
        <v>132.61000000000001</v>
      </c>
      <c r="J467">
        <v>1317</v>
      </c>
    </row>
    <row r="468" spans="1:10" x14ac:dyDescent="0.35">
      <c r="A468" s="1">
        <v>45124</v>
      </c>
      <c r="B468" t="s">
        <v>15</v>
      </c>
      <c r="C468" t="s">
        <v>11</v>
      </c>
      <c r="D468">
        <v>2273</v>
      </c>
      <c r="E468">
        <v>876</v>
      </c>
      <c r="F468">
        <v>2059</v>
      </c>
      <c r="G468">
        <v>61</v>
      </c>
      <c r="H468">
        <v>667</v>
      </c>
      <c r="I468">
        <v>134.52000000000001</v>
      </c>
      <c r="J468">
        <v>336</v>
      </c>
    </row>
    <row r="469" spans="1:10" x14ac:dyDescent="0.35">
      <c r="A469" s="1">
        <v>45124</v>
      </c>
      <c r="B469" t="s">
        <v>15</v>
      </c>
      <c r="C469" t="s">
        <v>12</v>
      </c>
      <c r="D469">
        <v>3536</v>
      </c>
      <c r="E469">
        <v>1327</v>
      </c>
      <c r="F469">
        <v>1799</v>
      </c>
      <c r="G469">
        <v>79</v>
      </c>
      <c r="H469">
        <v>49</v>
      </c>
      <c r="I469">
        <v>173.15</v>
      </c>
      <c r="J469">
        <v>850</v>
      </c>
    </row>
    <row r="470" spans="1:10" x14ac:dyDescent="0.35">
      <c r="A470" s="1">
        <v>45124</v>
      </c>
      <c r="B470" t="s">
        <v>16</v>
      </c>
      <c r="C470" t="s">
        <v>11</v>
      </c>
      <c r="D470">
        <v>6208</v>
      </c>
      <c r="E470">
        <v>4884</v>
      </c>
      <c r="F470">
        <v>4250</v>
      </c>
      <c r="G470">
        <v>64</v>
      </c>
      <c r="H470">
        <v>137</v>
      </c>
      <c r="I470">
        <v>102.24</v>
      </c>
      <c r="J470">
        <v>3071</v>
      </c>
    </row>
    <row r="471" spans="1:10" x14ac:dyDescent="0.35">
      <c r="A471" s="1">
        <v>45124</v>
      </c>
      <c r="B471" t="s">
        <v>16</v>
      </c>
      <c r="C471" t="s">
        <v>12</v>
      </c>
      <c r="D471">
        <v>6444</v>
      </c>
      <c r="E471">
        <v>1678</v>
      </c>
      <c r="F471">
        <v>1625</v>
      </c>
      <c r="G471">
        <v>22</v>
      </c>
      <c r="H471">
        <v>122</v>
      </c>
      <c r="I471">
        <v>143.37</v>
      </c>
      <c r="J471">
        <v>923</v>
      </c>
    </row>
    <row r="472" spans="1:10" x14ac:dyDescent="0.35">
      <c r="A472" s="1">
        <v>45125</v>
      </c>
      <c r="B472" t="s">
        <v>10</v>
      </c>
      <c r="C472" t="s">
        <v>11</v>
      </c>
      <c r="D472">
        <v>7505</v>
      </c>
      <c r="E472">
        <v>12802</v>
      </c>
      <c r="F472">
        <v>7186</v>
      </c>
      <c r="G472">
        <v>181</v>
      </c>
      <c r="H472">
        <v>88</v>
      </c>
      <c r="I472">
        <v>20.14</v>
      </c>
      <c r="J472">
        <v>4574</v>
      </c>
    </row>
    <row r="473" spans="1:10" x14ac:dyDescent="0.35">
      <c r="A473" s="1">
        <v>45125</v>
      </c>
      <c r="B473" t="s">
        <v>10</v>
      </c>
      <c r="C473" t="s">
        <v>12</v>
      </c>
      <c r="D473">
        <v>7031</v>
      </c>
      <c r="E473">
        <v>3023</v>
      </c>
      <c r="F473">
        <v>3983</v>
      </c>
      <c r="G473">
        <v>30</v>
      </c>
      <c r="H473">
        <v>48</v>
      </c>
      <c r="I473">
        <v>125.03</v>
      </c>
      <c r="J473">
        <v>2672</v>
      </c>
    </row>
    <row r="474" spans="1:10" x14ac:dyDescent="0.35">
      <c r="A474" s="1">
        <v>45125</v>
      </c>
      <c r="B474" t="s">
        <v>13</v>
      </c>
      <c r="C474" t="s">
        <v>11</v>
      </c>
      <c r="D474">
        <v>9685</v>
      </c>
      <c r="E474">
        <v>5315</v>
      </c>
      <c r="F474">
        <v>4399</v>
      </c>
      <c r="G474">
        <v>39</v>
      </c>
      <c r="H474">
        <v>106</v>
      </c>
      <c r="I474">
        <v>151.19</v>
      </c>
      <c r="J474">
        <v>2777</v>
      </c>
    </row>
    <row r="475" spans="1:10" x14ac:dyDescent="0.35">
      <c r="A475" s="1">
        <v>45125</v>
      </c>
      <c r="B475" t="s">
        <v>13</v>
      </c>
      <c r="C475" t="s">
        <v>12</v>
      </c>
      <c r="D475">
        <v>5951</v>
      </c>
      <c r="E475">
        <v>2435</v>
      </c>
      <c r="F475">
        <v>1742</v>
      </c>
      <c r="G475">
        <v>32</v>
      </c>
      <c r="H475">
        <v>31</v>
      </c>
      <c r="I475">
        <v>147.22</v>
      </c>
      <c r="J475">
        <v>1170</v>
      </c>
    </row>
    <row r="476" spans="1:10" x14ac:dyDescent="0.35">
      <c r="A476" s="1">
        <v>45125</v>
      </c>
      <c r="B476" t="s">
        <v>14</v>
      </c>
      <c r="C476" t="s">
        <v>11</v>
      </c>
      <c r="D476">
        <v>11945</v>
      </c>
      <c r="E476">
        <v>10246</v>
      </c>
      <c r="F476">
        <v>4449</v>
      </c>
      <c r="G476">
        <v>170</v>
      </c>
      <c r="H476">
        <v>56</v>
      </c>
      <c r="I476">
        <v>173.59</v>
      </c>
      <c r="J476">
        <v>1415</v>
      </c>
    </row>
    <row r="477" spans="1:10" x14ac:dyDescent="0.35">
      <c r="A477" s="1">
        <v>45125</v>
      </c>
      <c r="B477" t="s">
        <v>14</v>
      </c>
      <c r="C477" t="s">
        <v>12</v>
      </c>
      <c r="D477">
        <v>6279</v>
      </c>
      <c r="E477">
        <v>3136</v>
      </c>
      <c r="F477">
        <v>2950</v>
      </c>
      <c r="G477">
        <v>44</v>
      </c>
      <c r="H477">
        <v>31</v>
      </c>
      <c r="I477">
        <v>17.600000000000001</v>
      </c>
      <c r="J477">
        <v>1300</v>
      </c>
    </row>
    <row r="478" spans="1:10" x14ac:dyDescent="0.35">
      <c r="A478" s="1">
        <v>45125</v>
      </c>
      <c r="B478" t="s">
        <v>15</v>
      </c>
      <c r="C478" t="s">
        <v>11</v>
      </c>
      <c r="D478">
        <v>5003</v>
      </c>
      <c r="E478">
        <v>3954</v>
      </c>
      <c r="F478">
        <v>2645</v>
      </c>
      <c r="G478">
        <v>49</v>
      </c>
      <c r="H478">
        <v>100</v>
      </c>
      <c r="I478">
        <v>15.88</v>
      </c>
      <c r="J478">
        <v>840</v>
      </c>
    </row>
    <row r="479" spans="1:10" x14ac:dyDescent="0.35">
      <c r="A479" s="1">
        <v>45125</v>
      </c>
      <c r="B479" t="s">
        <v>15</v>
      </c>
      <c r="C479" t="s">
        <v>12</v>
      </c>
      <c r="D479">
        <v>2741</v>
      </c>
      <c r="E479">
        <v>1890</v>
      </c>
      <c r="F479">
        <v>1305</v>
      </c>
      <c r="G479">
        <v>28</v>
      </c>
      <c r="H479">
        <v>96</v>
      </c>
      <c r="I479">
        <v>135.94999999999999</v>
      </c>
      <c r="J479">
        <v>733</v>
      </c>
    </row>
    <row r="480" spans="1:10" x14ac:dyDescent="0.35">
      <c r="A480" s="1">
        <v>45125</v>
      </c>
      <c r="B480" t="s">
        <v>16</v>
      </c>
      <c r="C480" t="s">
        <v>11</v>
      </c>
      <c r="D480">
        <v>5113</v>
      </c>
      <c r="E480">
        <v>3830</v>
      </c>
      <c r="F480">
        <v>1885</v>
      </c>
      <c r="G480">
        <v>36</v>
      </c>
      <c r="H480">
        <v>125</v>
      </c>
      <c r="I480">
        <v>76.3</v>
      </c>
      <c r="J480">
        <v>1072</v>
      </c>
    </row>
    <row r="481" spans="1:10" x14ac:dyDescent="0.35">
      <c r="A481" s="1">
        <v>45125</v>
      </c>
      <c r="B481" t="s">
        <v>16</v>
      </c>
      <c r="C481" t="s">
        <v>12</v>
      </c>
      <c r="D481">
        <v>3035</v>
      </c>
      <c r="E481">
        <v>1881</v>
      </c>
      <c r="F481">
        <v>1817</v>
      </c>
      <c r="G481">
        <v>14</v>
      </c>
      <c r="H481">
        <v>85</v>
      </c>
      <c r="I481">
        <v>91.09</v>
      </c>
      <c r="J481">
        <v>1347</v>
      </c>
    </row>
    <row r="482" spans="1:10" x14ac:dyDescent="0.35">
      <c r="A482" s="1">
        <v>45126</v>
      </c>
      <c r="B482" t="s">
        <v>10</v>
      </c>
      <c r="C482" t="s">
        <v>11</v>
      </c>
      <c r="D482">
        <v>11561</v>
      </c>
      <c r="E482">
        <v>7711</v>
      </c>
      <c r="F482">
        <v>5045</v>
      </c>
      <c r="G482">
        <v>43</v>
      </c>
      <c r="H482">
        <v>56</v>
      </c>
      <c r="I482">
        <v>33.159999999999997</v>
      </c>
      <c r="J482">
        <v>3045</v>
      </c>
    </row>
    <row r="483" spans="1:10" x14ac:dyDescent="0.35">
      <c r="A483" s="1">
        <v>45126</v>
      </c>
      <c r="B483" t="s">
        <v>10</v>
      </c>
      <c r="C483" t="s">
        <v>12</v>
      </c>
      <c r="D483">
        <v>8574</v>
      </c>
      <c r="E483">
        <v>3090</v>
      </c>
      <c r="F483">
        <v>4349</v>
      </c>
      <c r="G483">
        <v>33</v>
      </c>
      <c r="H483">
        <v>53</v>
      </c>
      <c r="I483">
        <v>138.38999999999999</v>
      </c>
      <c r="J483">
        <v>2669</v>
      </c>
    </row>
    <row r="484" spans="1:10" x14ac:dyDescent="0.35">
      <c r="A484" s="1">
        <v>45126</v>
      </c>
      <c r="B484" t="s">
        <v>13</v>
      </c>
      <c r="C484" t="s">
        <v>11</v>
      </c>
      <c r="D484">
        <v>7189</v>
      </c>
      <c r="E484">
        <v>4827</v>
      </c>
      <c r="F484">
        <v>3678</v>
      </c>
      <c r="G484">
        <v>34</v>
      </c>
      <c r="H484">
        <v>115</v>
      </c>
      <c r="I484">
        <v>171.54</v>
      </c>
      <c r="J484">
        <v>1856</v>
      </c>
    </row>
    <row r="485" spans="1:10" x14ac:dyDescent="0.35">
      <c r="A485" s="1">
        <v>45126</v>
      </c>
      <c r="B485" t="s">
        <v>13</v>
      </c>
      <c r="C485" t="s">
        <v>12</v>
      </c>
      <c r="D485">
        <v>3402</v>
      </c>
      <c r="E485">
        <v>863</v>
      </c>
      <c r="F485">
        <v>1643</v>
      </c>
      <c r="G485">
        <v>12</v>
      </c>
      <c r="H485">
        <v>87</v>
      </c>
      <c r="I485">
        <v>128.13999999999999</v>
      </c>
      <c r="J485">
        <v>1010</v>
      </c>
    </row>
    <row r="486" spans="1:10" x14ac:dyDescent="0.35">
      <c r="A486" s="1">
        <v>45126</v>
      </c>
      <c r="B486" t="s">
        <v>14</v>
      </c>
      <c r="C486" t="s">
        <v>11</v>
      </c>
      <c r="D486">
        <v>11701</v>
      </c>
      <c r="E486">
        <v>7322</v>
      </c>
      <c r="F486">
        <v>4921</v>
      </c>
      <c r="G486">
        <v>78</v>
      </c>
      <c r="H486">
        <v>39</v>
      </c>
      <c r="I486">
        <v>121.03</v>
      </c>
      <c r="J486">
        <v>1817</v>
      </c>
    </row>
    <row r="487" spans="1:10" x14ac:dyDescent="0.35">
      <c r="A487" s="1">
        <v>45126</v>
      </c>
      <c r="B487" t="s">
        <v>14</v>
      </c>
      <c r="C487" t="s">
        <v>12</v>
      </c>
      <c r="D487">
        <v>5042</v>
      </c>
      <c r="E487">
        <v>3327</v>
      </c>
      <c r="F487">
        <v>2049</v>
      </c>
      <c r="G487">
        <v>40</v>
      </c>
      <c r="H487">
        <v>115</v>
      </c>
      <c r="I487">
        <v>53.08</v>
      </c>
      <c r="J487">
        <v>663</v>
      </c>
    </row>
    <row r="488" spans="1:10" x14ac:dyDescent="0.35">
      <c r="A488" s="1">
        <v>45126</v>
      </c>
      <c r="B488" t="s">
        <v>15</v>
      </c>
      <c r="C488" t="s">
        <v>11</v>
      </c>
      <c r="D488">
        <v>5921</v>
      </c>
      <c r="E488">
        <v>3997</v>
      </c>
      <c r="F488">
        <v>1481</v>
      </c>
      <c r="G488">
        <v>66</v>
      </c>
      <c r="H488">
        <v>101</v>
      </c>
      <c r="I488">
        <v>127.77</v>
      </c>
      <c r="J488">
        <v>2842</v>
      </c>
    </row>
    <row r="489" spans="1:10" x14ac:dyDescent="0.35">
      <c r="A489" s="1">
        <v>45126</v>
      </c>
      <c r="B489" t="s">
        <v>15</v>
      </c>
      <c r="C489" t="s">
        <v>12</v>
      </c>
      <c r="D489">
        <v>3079</v>
      </c>
      <c r="E489">
        <v>2373</v>
      </c>
      <c r="F489">
        <v>1665</v>
      </c>
      <c r="G489">
        <v>20</v>
      </c>
      <c r="H489">
        <v>67</v>
      </c>
      <c r="I489">
        <v>129.05000000000001</v>
      </c>
      <c r="J489">
        <v>1247</v>
      </c>
    </row>
    <row r="490" spans="1:10" x14ac:dyDescent="0.35">
      <c r="A490" s="1">
        <v>45126</v>
      </c>
      <c r="B490" t="s">
        <v>16</v>
      </c>
      <c r="C490" t="s">
        <v>11</v>
      </c>
      <c r="D490">
        <v>4976</v>
      </c>
      <c r="E490">
        <v>4681</v>
      </c>
      <c r="F490">
        <v>2758</v>
      </c>
      <c r="G490">
        <v>49</v>
      </c>
      <c r="H490">
        <v>40</v>
      </c>
      <c r="I490">
        <v>86.84</v>
      </c>
      <c r="J490">
        <v>905</v>
      </c>
    </row>
    <row r="491" spans="1:10" x14ac:dyDescent="0.35">
      <c r="A491" s="1">
        <v>45126</v>
      </c>
      <c r="B491" t="s">
        <v>16</v>
      </c>
      <c r="C491" t="s">
        <v>12</v>
      </c>
      <c r="D491">
        <v>7293</v>
      </c>
      <c r="E491">
        <v>5265</v>
      </c>
      <c r="F491">
        <v>2857</v>
      </c>
      <c r="G491">
        <v>81</v>
      </c>
      <c r="H491">
        <v>68</v>
      </c>
      <c r="I491">
        <v>49.78</v>
      </c>
      <c r="J491">
        <v>1567</v>
      </c>
    </row>
    <row r="492" spans="1:10" x14ac:dyDescent="0.35">
      <c r="A492" s="1">
        <v>45127</v>
      </c>
      <c r="B492" t="s">
        <v>10</v>
      </c>
      <c r="C492" t="s">
        <v>11</v>
      </c>
      <c r="D492">
        <v>7202</v>
      </c>
      <c r="E492">
        <v>10011</v>
      </c>
      <c r="F492">
        <v>10024</v>
      </c>
      <c r="G492">
        <v>56</v>
      </c>
      <c r="H492">
        <v>33</v>
      </c>
      <c r="I492">
        <v>175.56</v>
      </c>
      <c r="J492">
        <v>3345</v>
      </c>
    </row>
    <row r="493" spans="1:10" x14ac:dyDescent="0.35">
      <c r="A493" s="1">
        <v>45127</v>
      </c>
      <c r="B493" t="s">
        <v>10</v>
      </c>
      <c r="C493" t="s">
        <v>12</v>
      </c>
      <c r="D493">
        <v>9139</v>
      </c>
      <c r="E493">
        <v>8561</v>
      </c>
      <c r="F493">
        <v>3505</v>
      </c>
      <c r="G493">
        <v>87</v>
      </c>
      <c r="H493">
        <v>59</v>
      </c>
      <c r="I493">
        <v>51.25</v>
      </c>
      <c r="J493">
        <v>2310</v>
      </c>
    </row>
    <row r="494" spans="1:10" x14ac:dyDescent="0.35">
      <c r="A494" s="1">
        <v>45127</v>
      </c>
      <c r="B494" t="s">
        <v>13</v>
      </c>
      <c r="C494" t="s">
        <v>11</v>
      </c>
      <c r="D494">
        <v>7027</v>
      </c>
      <c r="E494">
        <v>2342</v>
      </c>
      <c r="F494">
        <v>2857</v>
      </c>
      <c r="G494">
        <v>19</v>
      </c>
      <c r="H494">
        <v>120</v>
      </c>
      <c r="I494">
        <v>43.07</v>
      </c>
      <c r="J494">
        <v>1724</v>
      </c>
    </row>
    <row r="495" spans="1:10" x14ac:dyDescent="0.35">
      <c r="A495" s="1">
        <v>45127</v>
      </c>
      <c r="B495" t="s">
        <v>13</v>
      </c>
      <c r="C495" t="s">
        <v>12</v>
      </c>
      <c r="D495">
        <v>6712</v>
      </c>
      <c r="E495">
        <v>2320</v>
      </c>
      <c r="F495">
        <v>3754</v>
      </c>
      <c r="G495">
        <v>21</v>
      </c>
      <c r="H495">
        <v>92</v>
      </c>
      <c r="I495">
        <v>151.84</v>
      </c>
      <c r="J495">
        <v>1388</v>
      </c>
    </row>
    <row r="496" spans="1:10" x14ac:dyDescent="0.35">
      <c r="A496" s="1">
        <v>45127</v>
      </c>
      <c r="B496" t="s">
        <v>14</v>
      </c>
      <c r="C496" t="s">
        <v>11</v>
      </c>
      <c r="D496">
        <v>6379</v>
      </c>
      <c r="E496">
        <v>6701</v>
      </c>
      <c r="F496">
        <v>3541</v>
      </c>
      <c r="G496">
        <v>96</v>
      </c>
      <c r="H496">
        <v>40</v>
      </c>
      <c r="I496">
        <v>66.430000000000007</v>
      </c>
      <c r="J496">
        <v>1987</v>
      </c>
    </row>
    <row r="497" spans="1:10" x14ac:dyDescent="0.35">
      <c r="A497" s="1">
        <v>45127</v>
      </c>
      <c r="B497" t="s">
        <v>14</v>
      </c>
      <c r="C497" t="s">
        <v>12</v>
      </c>
      <c r="D497">
        <v>4424</v>
      </c>
      <c r="E497">
        <v>1933</v>
      </c>
      <c r="F497">
        <v>1436</v>
      </c>
      <c r="G497">
        <v>21</v>
      </c>
      <c r="H497">
        <v>32</v>
      </c>
      <c r="I497">
        <v>133.01</v>
      </c>
      <c r="J497">
        <v>728</v>
      </c>
    </row>
    <row r="498" spans="1:10" x14ac:dyDescent="0.35">
      <c r="A498" s="1">
        <v>45127</v>
      </c>
      <c r="B498" t="s">
        <v>15</v>
      </c>
      <c r="C498" t="s">
        <v>11</v>
      </c>
      <c r="D498">
        <v>3397</v>
      </c>
      <c r="E498">
        <v>1839</v>
      </c>
      <c r="F498">
        <v>1758</v>
      </c>
      <c r="G498">
        <v>19</v>
      </c>
      <c r="H498">
        <v>30</v>
      </c>
      <c r="I498">
        <v>47.88</v>
      </c>
      <c r="J498">
        <v>982</v>
      </c>
    </row>
    <row r="499" spans="1:10" x14ac:dyDescent="0.35">
      <c r="A499" s="1">
        <v>45127</v>
      </c>
      <c r="B499" t="s">
        <v>15</v>
      </c>
      <c r="C499" t="s">
        <v>12</v>
      </c>
      <c r="D499">
        <v>2219</v>
      </c>
      <c r="E499">
        <v>1392</v>
      </c>
      <c r="F499">
        <v>1324</v>
      </c>
      <c r="G499">
        <v>21</v>
      </c>
      <c r="H499">
        <v>64</v>
      </c>
      <c r="I499">
        <v>101.26</v>
      </c>
      <c r="J499">
        <v>927</v>
      </c>
    </row>
    <row r="500" spans="1:10" x14ac:dyDescent="0.35">
      <c r="A500" s="1">
        <v>45127</v>
      </c>
      <c r="B500" t="s">
        <v>16</v>
      </c>
      <c r="C500" t="s">
        <v>11</v>
      </c>
      <c r="D500">
        <v>3506</v>
      </c>
      <c r="E500">
        <v>2714</v>
      </c>
      <c r="F500">
        <v>1560</v>
      </c>
      <c r="G500">
        <v>29</v>
      </c>
      <c r="H500">
        <v>38</v>
      </c>
      <c r="I500">
        <v>146.94999999999999</v>
      </c>
      <c r="J500">
        <v>1056</v>
      </c>
    </row>
    <row r="501" spans="1:10" x14ac:dyDescent="0.35">
      <c r="A501" s="1">
        <v>45127</v>
      </c>
      <c r="B501" t="s">
        <v>16</v>
      </c>
      <c r="C501" t="s">
        <v>12</v>
      </c>
      <c r="D501">
        <v>6460</v>
      </c>
      <c r="E501">
        <v>3077</v>
      </c>
      <c r="F501">
        <v>3416</v>
      </c>
      <c r="G501">
        <v>32</v>
      </c>
      <c r="H501">
        <v>35</v>
      </c>
      <c r="I501">
        <v>149.94999999999999</v>
      </c>
      <c r="J501">
        <v>1218</v>
      </c>
    </row>
    <row r="502" spans="1:10" x14ac:dyDescent="0.35">
      <c r="A502" s="1">
        <v>45128</v>
      </c>
      <c r="B502" t="s">
        <v>10</v>
      </c>
      <c r="C502" t="s">
        <v>11</v>
      </c>
      <c r="D502">
        <v>9458</v>
      </c>
      <c r="E502">
        <v>6135</v>
      </c>
      <c r="F502">
        <v>4227</v>
      </c>
      <c r="G502">
        <v>72</v>
      </c>
      <c r="H502">
        <v>124</v>
      </c>
      <c r="I502">
        <v>168.83</v>
      </c>
      <c r="J502">
        <v>2494</v>
      </c>
    </row>
    <row r="503" spans="1:10" x14ac:dyDescent="0.35">
      <c r="A503" s="1">
        <v>45128</v>
      </c>
      <c r="B503" t="s">
        <v>10</v>
      </c>
      <c r="C503" t="s">
        <v>12</v>
      </c>
      <c r="D503">
        <v>9650</v>
      </c>
      <c r="E503">
        <v>6913</v>
      </c>
      <c r="F503">
        <v>4548</v>
      </c>
      <c r="G503">
        <v>46</v>
      </c>
      <c r="H503">
        <v>138</v>
      </c>
      <c r="I503">
        <v>45.17</v>
      </c>
      <c r="J503">
        <v>1743</v>
      </c>
    </row>
    <row r="504" spans="1:10" x14ac:dyDescent="0.35">
      <c r="A504" s="1">
        <v>45128</v>
      </c>
      <c r="B504" t="s">
        <v>13</v>
      </c>
      <c r="C504" t="s">
        <v>11</v>
      </c>
      <c r="D504">
        <v>4671</v>
      </c>
      <c r="E504">
        <v>4158</v>
      </c>
      <c r="F504">
        <v>2209</v>
      </c>
      <c r="G504">
        <v>50</v>
      </c>
      <c r="H504">
        <v>63</v>
      </c>
      <c r="I504">
        <v>76.8</v>
      </c>
      <c r="J504">
        <v>1218</v>
      </c>
    </row>
    <row r="505" spans="1:10" x14ac:dyDescent="0.35">
      <c r="A505" s="1">
        <v>45128</v>
      </c>
      <c r="B505" t="s">
        <v>13</v>
      </c>
      <c r="C505" t="s">
        <v>12</v>
      </c>
      <c r="D505">
        <v>6750</v>
      </c>
      <c r="E505">
        <v>6182</v>
      </c>
      <c r="F505">
        <v>2708</v>
      </c>
      <c r="G505">
        <v>95</v>
      </c>
      <c r="H505">
        <v>34</v>
      </c>
      <c r="I505">
        <v>43.9</v>
      </c>
      <c r="J505">
        <v>1701</v>
      </c>
    </row>
    <row r="506" spans="1:10" x14ac:dyDescent="0.35">
      <c r="A506" s="1">
        <v>45128</v>
      </c>
      <c r="B506" t="s">
        <v>14</v>
      </c>
      <c r="C506" t="s">
        <v>11</v>
      </c>
      <c r="D506">
        <v>5050</v>
      </c>
      <c r="E506">
        <v>1303</v>
      </c>
      <c r="F506">
        <v>2303</v>
      </c>
      <c r="G506">
        <v>10</v>
      </c>
      <c r="H506">
        <v>58</v>
      </c>
      <c r="I506">
        <v>15.11</v>
      </c>
      <c r="J506">
        <v>1232</v>
      </c>
    </row>
    <row r="507" spans="1:10" x14ac:dyDescent="0.35">
      <c r="A507" s="1">
        <v>45128</v>
      </c>
      <c r="B507" t="s">
        <v>14</v>
      </c>
      <c r="C507" t="s">
        <v>12</v>
      </c>
      <c r="D507">
        <v>6351</v>
      </c>
      <c r="E507">
        <v>4269</v>
      </c>
      <c r="F507">
        <v>2623</v>
      </c>
      <c r="G507">
        <v>24</v>
      </c>
      <c r="H507">
        <v>39</v>
      </c>
      <c r="I507">
        <v>72.95</v>
      </c>
      <c r="J507">
        <v>1061</v>
      </c>
    </row>
    <row r="508" spans="1:10" x14ac:dyDescent="0.35">
      <c r="A508" s="1">
        <v>45128</v>
      </c>
      <c r="B508" t="s">
        <v>15</v>
      </c>
      <c r="C508" t="s">
        <v>11</v>
      </c>
      <c r="D508">
        <v>2439</v>
      </c>
      <c r="E508">
        <v>1002</v>
      </c>
      <c r="F508">
        <v>1423</v>
      </c>
      <c r="G508">
        <v>16</v>
      </c>
      <c r="H508">
        <v>63</v>
      </c>
      <c r="I508">
        <v>164.89</v>
      </c>
      <c r="J508">
        <v>817</v>
      </c>
    </row>
    <row r="509" spans="1:10" x14ac:dyDescent="0.35">
      <c r="A509" s="1">
        <v>45128</v>
      </c>
      <c r="B509" t="s">
        <v>15</v>
      </c>
      <c r="C509" t="s">
        <v>12</v>
      </c>
      <c r="D509">
        <v>2620</v>
      </c>
      <c r="E509">
        <v>641</v>
      </c>
      <c r="F509">
        <v>1338</v>
      </c>
      <c r="G509">
        <v>9</v>
      </c>
      <c r="H509">
        <v>77</v>
      </c>
      <c r="I509">
        <v>179.93</v>
      </c>
      <c r="J509">
        <v>772</v>
      </c>
    </row>
    <row r="510" spans="1:10" x14ac:dyDescent="0.35">
      <c r="A510" s="1">
        <v>45128</v>
      </c>
      <c r="B510" t="s">
        <v>16</v>
      </c>
      <c r="C510" t="s">
        <v>11</v>
      </c>
      <c r="D510">
        <v>7051</v>
      </c>
      <c r="E510">
        <v>3599</v>
      </c>
      <c r="F510">
        <v>3121</v>
      </c>
      <c r="G510">
        <v>48</v>
      </c>
      <c r="H510">
        <v>127</v>
      </c>
      <c r="I510">
        <v>71.17</v>
      </c>
      <c r="J510">
        <v>1884</v>
      </c>
    </row>
    <row r="511" spans="1:10" x14ac:dyDescent="0.35">
      <c r="A511" s="1">
        <v>45128</v>
      </c>
      <c r="B511" t="s">
        <v>16</v>
      </c>
      <c r="C511" t="s">
        <v>12</v>
      </c>
      <c r="D511">
        <v>6470</v>
      </c>
      <c r="E511">
        <v>2609</v>
      </c>
      <c r="F511">
        <v>2850</v>
      </c>
      <c r="G511">
        <v>33</v>
      </c>
      <c r="H511">
        <v>39</v>
      </c>
      <c r="I511">
        <v>20.76</v>
      </c>
      <c r="J511">
        <v>1847</v>
      </c>
    </row>
    <row r="512" spans="1:10" x14ac:dyDescent="0.35">
      <c r="A512" s="1">
        <v>45129</v>
      </c>
      <c r="B512" t="s">
        <v>10</v>
      </c>
      <c r="C512" t="s">
        <v>11</v>
      </c>
      <c r="D512">
        <v>8561</v>
      </c>
      <c r="E512">
        <v>7312</v>
      </c>
      <c r="F512">
        <v>5127</v>
      </c>
      <c r="G512">
        <v>116</v>
      </c>
      <c r="H512">
        <v>55</v>
      </c>
      <c r="I512">
        <v>54.18</v>
      </c>
      <c r="J512">
        <v>3375</v>
      </c>
    </row>
    <row r="513" spans="1:10" x14ac:dyDescent="0.35">
      <c r="A513" s="1">
        <v>45129</v>
      </c>
      <c r="B513" t="s">
        <v>10</v>
      </c>
      <c r="C513" t="s">
        <v>12</v>
      </c>
      <c r="D513">
        <v>4084</v>
      </c>
      <c r="E513">
        <v>2349</v>
      </c>
      <c r="F513">
        <v>2346</v>
      </c>
      <c r="G513">
        <v>33</v>
      </c>
      <c r="H513">
        <v>44</v>
      </c>
      <c r="I513">
        <v>77.66</v>
      </c>
      <c r="J513">
        <v>903</v>
      </c>
    </row>
    <row r="514" spans="1:10" x14ac:dyDescent="0.35">
      <c r="A514" s="1">
        <v>45129</v>
      </c>
      <c r="B514" t="s">
        <v>13</v>
      </c>
      <c r="C514" t="s">
        <v>11</v>
      </c>
      <c r="D514">
        <v>4982</v>
      </c>
      <c r="E514">
        <v>1912</v>
      </c>
      <c r="F514">
        <v>2344</v>
      </c>
      <c r="G514">
        <v>11</v>
      </c>
      <c r="H514">
        <v>38</v>
      </c>
      <c r="I514">
        <v>156.32</v>
      </c>
      <c r="J514">
        <v>1390</v>
      </c>
    </row>
    <row r="515" spans="1:10" x14ac:dyDescent="0.35">
      <c r="A515" s="1">
        <v>45129</v>
      </c>
      <c r="B515" t="s">
        <v>13</v>
      </c>
      <c r="C515" t="s">
        <v>12</v>
      </c>
      <c r="D515">
        <v>5446</v>
      </c>
      <c r="E515">
        <v>4950</v>
      </c>
      <c r="F515">
        <v>1742</v>
      </c>
      <c r="G515">
        <v>47</v>
      </c>
      <c r="H515">
        <v>33</v>
      </c>
      <c r="I515">
        <v>29.45</v>
      </c>
      <c r="J515">
        <v>538</v>
      </c>
    </row>
    <row r="516" spans="1:10" x14ac:dyDescent="0.35">
      <c r="A516" s="1">
        <v>45129</v>
      </c>
      <c r="B516" t="s">
        <v>14</v>
      </c>
      <c r="C516" t="s">
        <v>11</v>
      </c>
      <c r="D516">
        <v>9096</v>
      </c>
      <c r="E516">
        <v>3718</v>
      </c>
      <c r="F516">
        <v>2811</v>
      </c>
      <c r="G516">
        <v>33</v>
      </c>
      <c r="H516">
        <v>53</v>
      </c>
      <c r="I516">
        <v>120.12</v>
      </c>
      <c r="J516">
        <v>2059</v>
      </c>
    </row>
    <row r="517" spans="1:10" x14ac:dyDescent="0.35">
      <c r="A517" s="1">
        <v>45129</v>
      </c>
      <c r="B517" t="s">
        <v>14</v>
      </c>
      <c r="C517" t="s">
        <v>12</v>
      </c>
      <c r="D517">
        <v>6094</v>
      </c>
      <c r="E517">
        <v>4145</v>
      </c>
      <c r="F517">
        <v>2409</v>
      </c>
      <c r="G517">
        <v>54</v>
      </c>
      <c r="H517">
        <v>38</v>
      </c>
      <c r="I517">
        <v>98.54</v>
      </c>
      <c r="J517">
        <v>1642</v>
      </c>
    </row>
    <row r="518" spans="1:10" x14ac:dyDescent="0.35">
      <c r="A518" s="1">
        <v>45129</v>
      </c>
      <c r="B518" t="s">
        <v>15</v>
      </c>
      <c r="C518" t="s">
        <v>11</v>
      </c>
      <c r="D518">
        <v>5097</v>
      </c>
      <c r="E518">
        <v>2241</v>
      </c>
      <c r="F518">
        <v>3002</v>
      </c>
      <c r="G518">
        <v>19</v>
      </c>
      <c r="H518">
        <v>61</v>
      </c>
      <c r="I518">
        <v>72.239999999999995</v>
      </c>
      <c r="J518">
        <v>914</v>
      </c>
    </row>
    <row r="519" spans="1:10" x14ac:dyDescent="0.35">
      <c r="A519" s="1">
        <v>45129</v>
      </c>
      <c r="B519" t="s">
        <v>15</v>
      </c>
      <c r="C519" t="s">
        <v>12</v>
      </c>
      <c r="D519">
        <v>3188</v>
      </c>
      <c r="E519">
        <v>3037</v>
      </c>
      <c r="F519">
        <v>1281</v>
      </c>
      <c r="G519">
        <v>26</v>
      </c>
      <c r="H519">
        <v>761</v>
      </c>
      <c r="I519">
        <v>29.68</v>
      </c>
      <c r="J519">
        <v>430</v>
      </c>
    </row>
    <row r="520" spans="1:10" x14ac:dyDescent="0.35">
      <c r="A520" s="1">
        <v>45129</v>
      </c>
      <c r="B520" t="s">
        <v>16</v>
      </c>
      <c r="C520" t="s">
        <v>11</v>
      </c>
      <c r="D520">
        <v>4718</v>
      </c>
      <c r="E520">
        <v>3966</v>
      </c>
      <c r="F520">
        <v>1678</v>
      </c>
      <c r="G520">
        <v>63</v>
      </c>
      <c r="H520">
        <v>142</v>
      </c>
      <c r="I520">
        <v>54.6</v>
      </c>
      <c r="J520">
        <v>785</v>
      </c>
    </row>
    <row r="521" spans="1:10" x14ac:dyDescent="0.35">
      <c r="A521" s="1">
        <v>45129</v>
      </c>
      <c r="B521" t="s">
        <v>16</v>
      </c>
      <c r="C521" t="s">
        <v>12</v>
      </c>
      <c r="D521">
        <v>2073</v>
      </c>
      <c r="E521">
        <v>1386</v>
      </c>
      <c r="F521">
        <v>1224</v>
      </c>
      <c r="G521">
        <v>9</v>
      </c>
      <c r="H521">
        <v>140</v>
      </c>
      <c r="I521">
        <v>15.83</v>
      </c>
      <c r="J521">
        <v>613</v>
      </c>
    </row>
    <row r="522" spans="1:10" x14ac:dyDescent="0.35">
      <c r="A522" s="1">
        <v>45130</v>
      </c>
      <c r="B522" t="s">
        <v>10</v>
      </c>
      <c r="C522" t="s">
        <v>11</v>
      </c>
      <c r="D522">
        <v>5969</v>
      </c>
      <c r="E522">
        <v>2876</v>
      </c>
      <c r="F522">
        <v>9454</v>
      </c>
      <c r="G522">
        <v>177</v>
      </c>
      <c r="H522">
        <v>94</v>
      </c>
      <c r="I522">
        <v>33.94</v>
      </c>
      <c r="J522">
        <v>5295</v>
      </c>
    </row>
    <row r="523" spans="1:10" x14ac:dyDescent="0.35">
      <c r="A523" s="1">
        <v>45130</v>
      </c>
      <c r="B523" t="s">
        <v>10</v>
      </c>
      <c r="C523" t="s">
        <v>12</v>
      </c>
      <c r="D523">
        <v>5012</v>
      </c>
      <c r="E523">
        <v>1403</v>
      </c>
      <c r="F523">
        <v>1823</v>
      </c>
      <c r="G523">
        <v>78</v>
      </c>
      <c r="H523">
        <v>31</v>
      </c>
      <c r="I523">
        <v>156.26</v>
      </c>
      <c r="J523">
        <v>1091</v>
      </c>
    </row>
    <row r="524" spans="1:10" x14ac:dyDescent="0.35">
      <c r="A524" s="1">
        <v>45130</v>
      </c>
      <c r="B524" t="s">
        <v>13</v>
      </c>
      <c r="C524" t="s">
        <v>11</v>
      </c>
      <c r="D524">
        <v>5633</v>
      </c>
      <c r="E524">
        <v>9408</v>
      </c>
      <c r="F524">
        <v>4191</v>
      </c>
      <c r="G524">
        <v>147</v>
      </c>
      <c r="H524">
        <v>113</v>
      </c>
      <c r="I524">
        <v>135.4</v>
      </c>
      <c r="J524">
        <v>2560</v>
      </c>
    </row>
    <row r="525" spans="1:10" x14ac:dyDescent="0.35">
      <c r="A525" s="1">
        <v>45130</v>
      </c>
      <c r="B525" t="s">
        <v>13</v>
      </c>
      <c r="C525" t="s">
        <v>12</v>
      </c>
      <c r="D525">
        <v>3588</v>
      </c>
      <c r="E525">
        <v>1745</v>
      </c>
      <c r="F525">
        <v>1971</v>
      </c>
      <c r="G525">
        <v>17</v>
      </c>
      <c r="H525">
        <v>38</v>
      </c>
      <c r="I525">
        <v>62.51</v>
      </c>
      <c r="J525">
        <v>698</v>
      </c>
    </row>
    <row r="526" spans="1:10" x14ac:dyDescent="0.35">
      <c r="A526" s="1">
        <v>45130</v>
      </c>
      <c r="B526" t="s">
        <v>14</v>
      </c>
      <c r="C526" t="s">
        <v>11</v>
      </c>
      <c r="D526">
        <v>9844</v>
      </c>
      <c r="E526">
        <v>9094</v>
      </c>
      <c r="F526">
        <v>5120</v>
      </c>
      <c r="G526">
        <v>60</v>
      </c>
      <c r="H526">
        <v>57</v>
      </c>
      <c r="I526">
        <v>105.2</v>
      </c>
      <c r="J526">
        <v>2993</v>
      </c>
    </row>
    <row r="527" spans="1:10" x14ac:dyDescent="0.35">
      <c r="A527" s="1">
        <v>45130</v>
      </c>
      <c r="B527" t="s">
        <v>14</v>
      </c>
      <c r="C527" t="s">
        <v>12</v>
      </c>
      <c r="D527">
        <v>3069</v>
      </c>
      <c r="E527">
        <v>836</v>
      </c>
      <c r="F527">
        <v>2148</v>
      </c>
      <c r="G527">
        <v>77</v>
      </c>
      <c r="H527">
        <v>66</v>
      </c>
      <c r="I527">
        <v>108.49</v>
      </c>
      <c r="J527">
        <v>525</v>
      </c>
    </row>
    <row r="528" spans="1:10" x14ac:dyDescent="0.35">
      <c r="A528" s="1">
        <v>45130</v>
      </c>
      <c r="B528" t="s">
        <v>15</v>
      </c>
      <c r="C528" t="s">
        <v>11</v>
      </c>
      <c r="D528">
        <v>4463</v>
      </c>
      <c r="E528">
        <v>3320</v>
      </c>
      <c r="F528">
        <v>2090</v>
      </c>
      <c r="G528">
        <v>32</v>
      </c>
      <c r="H528">
        <v>91</v>
      </c>
      <c r="I528">
        <v>147.16</v>
      </c>
      <c r="J528">
        <v>1513</v>
      </c>
    </row>
    <row r="529" spans="1:10" x14ac:dyDescent="0.35">
      <c r="A529" s="1">
        <v>45130</v>
      </c>
      <c r="B529" t="s">
        <v>15</v>
      </c>
      <c r="C529" t="s">
        <v>12</v>
      </c>
      <c r="D529">
        <v>1410</v>
      </c>
      <c r="E529">
        <v>439</v>
      </c>
      <c r="F529">
        <v>1789</v>
      </c>
      <c r="G529">
        <v>74</v>
      </c>
      <c r="H529">
        <v>528</v>
      </c>
      <c r="I529">
        <v>26.09</v>
      </c>
      <c r="J529">
        <v>197</v>
      </c>
    </row>
    <row r="530" spans="1:10" x14ac:dyDescent="0.35">
      <c r="A530" s="1">
        <v>45130</v>
      </c>
      <c r="B530" t="s">
        <v>16</v>
      </c>
      <c r="C530" t="s">
        <v>11</v>
      </c>
      <c r="D530">
        <v>9595</v>
      </c>
      <c r="E530">
        <v>7715</v>
      </c>
      <c r="F530">
        <v>4654</v>
      </c>
      <c r="G530">
        <v>102</v>
      </c>
      <c r="H530">
        <v>113</v>
      </c>
      <c r="I530">
        <v>145.27000000000001</v>
      </c>
      <c r="J530">
        <v>3205</v>
      </c>
    </row>
    <row r="531" spans="1:10" x14ac:dyDescent="0.35">
      <c r="A531" s="1">
        <v>45130</v>
      </c>
      <c r="B531" t="s">
        <v>16</v>
      </c>
      <c r="C531" t="s">
        <v>12</v>
      </c>
      <c r="D531">
        <v>7712</v>
      </c>
      <c r="E531">
        <v>3496</v>
      </c>
      <c r="F531">
        <v>4208</v>
      </c>
      <c r="G531">
        <v>56</v>
      </c>
      <c r="H531">
        <v>129</v>
      </c>
      <c r="I531">
        <v>144.04</v>
      </c>
      <c r="J531">
        <v>3125</v>
      </c>
    </row>
    <row r="532" spans="1:10" x14ac:dyDescent="0.35">
      <c r="A532" s="1">
        <v>45131</v>
      </c>
      <c r="B532" t="s">
        <v>10</v>
      </c>
      <c r="C532" t="s">
        <v>11</v>
      </c>
      <c r="D532">
        <v>6047</v>
      </c>
      <c r="E532">
        <v>2964</v>
      </c>
      <c r="F532">
        <v>1910</v>
      </c>
      <c r="G532">
        <v>16</v>
      </c>
      <c r="H532">
        <v>125</v>
      </c>
      <c r="I532">
        <v>178.26</v>
      </c>
      <c r="J532">
        <v>1168</v>
      </c>
    </row>
    <row r="533" spans="1:10" x14ac:dyDescent="0.35">
      <c r="A533" s="1">
        <v>45131</v>
      </c>
      <c r="B533" t="s">
        <v>10</v>
      </c>
      <c r="C533" t="s">
        <v>12</v>
      </c>
      <c r="D533">
        <v>4459</v>
      </c>
      <c r="E533">
        <v>1881</v>
      </c>
      <c r="F533">
        <v>1818</v>
      </c>
      <c r="G533">
        <v>22</v>
      </c>
      <c r="H533">
        <v>32</v>
      </c>
      <c r="I533">
        <v>162.82</v>
      </c>
      <c r="J533">
        <v>1219</v>
      </c>
    </row>
    <row r="534" spans="1:10" x14ac:dyDescent="0.35">
      <c r="A534" s="1">
        <v>45131</v>
      </c>
      <c r="B534" t="s">
        <v>13</v>
      </c>
      <c r="C534" t="s">
        <v>11</v>
      </c>
      <c r="D534">
        <v>11111</v>
      </c>
      <c r="E534">
        <v>5567</v>
      </c>
      <c r="F534">
        <v>4427</v>
      </c>
      <c r="G534">
        <v>80</v>
      </c>
      <c r="H534">
        <v>52</v>
      </c>
      <c r="I534">
        <v>74.13</v>
      </c>
      <c r="J534">
        <v>1745</v>
      </c>
    </row>
    <row r="535" spans="1:10" x14ac:dyDescent="0.35">
      <c r="A535" s="1">
        <v>45131</v>
      </c>
      <c r="B535" t="s">
        <v>13</v>
      </c>
      <c r="C535" t="s">
        <v>12</v>
      </c>
      <c r="D535">
        <v>3810</v>
      </c>
      <c r="E535">
        <v>3221</v>
      </c>
      <c r="F535">
        <v>1578</v>
      </c>
      <c r="G535">
        <v>24</v>
      </c>
      <c r="H535">
        <v>31</v>
      </c>
      <c r="I535">
        <v>143.94999999999999</v>
      </c>
      <c r="J535">
        <v>1048</v>
      </c>
    </row>
    <row r="536" spans="1:10" x14ac:dyDescent="0.35">
      <c r="A536" s="1">
        <v>45131</v>
      </c>
      <c r="B536" t="s">
        <v>14</v>
      </c>
      <c r="C536" t="s">
        <v>11</v>
      </c>
      <c r="D536">
        <v>4477</v>
      </c>
      <c r="E536">
        <v>2052</v>
      </c>
      <c r="F536">
        <v>1502</v>
      </c>
      <c r="G536">
        <v>33</v>
      </c>
      <c r="H536">
        <v>38</v>
      </c>
      <c r="I536">
        <v>114.28</v>
      </c>
      <c r="J536">
        <v>1082</v>
      </c>
    </row>
    <row r="537" spans="1:10" x14ac:dyDescent="0.35">
      <c r="A537" s="1">
        <v>45131</v>
      </c>
      <c r="B537" t="s">
        <v>14</v>
      </c>
      <c r="C537" t="s">
        <v>12</v>
      </c>
      <c r="D537">
        <v>5193</v>
      </c>
      <c r="E537">
        <v>3024</v>
      </c>
      <c r="F537">
        <v>1809</v>
      </c>
      <c r="G537">
        <v>29</v>
      </c>
      <c r="H537">
        <v>30</v>
      </c>
      <c r="I537">
        <v>168.14</v>
      </c>
      <c r="J537">
        <v>1077</v>
      </c>
    </row>
    <row r="538" spans="1:10" x14ac:dyDescent="0.35">
      <c r="A538" s="1">
        <v>45131</v>
      </c>
      <c r="B538" t="s">
        <v>15</v>
      </c>
      <c r="C538" t="s">
        <v>11</v>
      </c>
      <c r="D538">
        <v>4403</v>
      </c>
      <c r="E538">
        <v>1274</v>
      </c>
      <c r="F538">
        <v>1475</v>
      </c>
      <c r="G538">
        <v>13</v>
      </c>
      <c r="H538">
        <v>131</v>
      </c>
      <c r="I538">
        <v>121.96</v>
      </c>
      <c r="J538">
        <v>849</v>
      </c>
    </row>
    <row r="539" spans="1:10" x14ac:dyDescent="0.35">
      <c r="A539" s="1">
        <v>45131</v>
      </c>
      <c r="B539" t="s">
        <v>15</v>
      </c>
      <c r="C539" t="s">
        <v>12</v>
      </c>
      <c r="D539">
        <v>1388</v>
      </c>
      <c r="E539">
        <v>883</v>
      </c>
      <c r="F539">
        <v>1976</v>
      </c>
      <c r="G539">
        <v>9</v>
      </c>
      <c r="H539">
        <v>49</v>
      </c>
      <c r="I539">
        <v>163.38</v>
      </c>
      <c r="J539">
        <v>509</v>
      </c>
    </row>
    <row r="540" spans="1:10" x14ac:dyDescent="0.35">
      <c r="A540" s="1">
        <v>45131</v>
      </c>
      <c r="B540" t="s">
        <v>16</v>
      </c>
      <c r="C540" t="s">
        <v>11</v>
      </c>
      <c r="D540">
        <v>3644</v>
      </c>
      <c r="E540">
        <v>1152</v>
      </c>
      <c r="F540">
        <v>1545</v>
      </c>
      <c r="G540">
        <v>10</v>
      </c>
      <c r="H540">
        <v>56</v>
      </c>
      <c r="I540">
        <v>50.8</v>
      </c>
      <c r="J540">
        <v>933</v>
      </c>
    </row>
    <row r="541" spans="1:10" x14ac:dyDescent="0.35">
      <c r="A541" s="1">
        <v>45131</v>
      </c>
      <c r="B541" t="s">
        <v>16</v>
      </c>
      <c r="C541" t="s">
        <v>12</v>
      </c>
      <c r="D541">
        <v>7733</v>
      </c>
      <c r="E541">
        <v>2868</v>
      </c>
      <c r="F541">
        <v>4239</v>
      </c>
      <c r="G541">
        <v>20</v>
      </c>
      <c r="H541">
        <v>31</v>
      </c>
      <c r="I541">
        <v>100.52</v>
      </c>
      <c r="J541">
        <v>1352</v>
      </c>
    </row>
    <row r="542" spans="1:10" x14ac:dyDescent="0.35">
      <c r="A542" s="1">
        <v>45132</v>
      </c>
      <c r="B542" t="s">
        <v>10</v>
      </c>
      <c r="C542" t="s">
        <v>11</v>
      </c>
      <c r="D542">
        <v>9282</v>
      </c>
      <c r="E542">
        <v>5950</v>
      </c>
      <c r="F542">
        <v>4183</v>
      </c>
      <c r="G542">
        <v>46</v>
      </c>
      <c r="H542">
        <v>130</v>
      </c>
      <c r="I542">
        <v>153.02000000000001</v>
      </c>
      <c r="J542">
        <v>2632</v>
      </c>
    </row>
    <row r="543" spans="1:10" x14ac:dyDescent="0.35">
      <c r="A543" s="1">
        <v>45132</v>
      </c>
      <c r="B543" t="s">
        <v>10</v>
      </c>
      <c r="C543" t="s">
        <v>12</v>
      </c>
      <c r="D543">
        <v>7036</v>
      </c>
      <c r="E543">
        <v>6421</v>
      </c>
      <c r="F543">
        <v>3452</v>
      </c>
      <c r="G543">
        <v>101</v>
      </c>
      <c r="H543">
        <v>39</v>
      </c>
      <c r="I543">
        <v>102.66</v>
      </c>
      <c r="J543">
        <v>2014</v>
      </c>
    </row>
    <row r="544" spans="1:10" x14ac:dyDescent="0.35">
      <c r="A544" s="1">
        <v>45132</v>
      </c>
      <c r="B544" t="s">
        <v>13</v>
      </c>
      <c r="C544" t="s">
        <v>11</v>
      </c>
      <c r="D544">
        <v>6190</v>
      </c>
      <c r="E544">
        <v>4966</v>
      </c>
      <c r="F544">
        <v>2681</v>
      </c>
      <c r="G544">
        <v>48</v>
      </c>
      <c r="H544">
        <v>54</v>
      </c>
      <c r="I544">
        <v>104.15</v>
      </c>
      <c r="J544">
        <v>1882</v>
      </c>
    </row>
    <row r="545" spans="1:10" x14ac:dyDescent="0.35">
      <c r="A545" s="1">
        <v>45132</v>
      </c>
      <c r="B545" t="s">
        <v>13</v>
      </c>
      <c r="C545" t="s">
        <v>12</v>
      </c>
      <c r="D545">
        <v>2663</v>
      </c>
      <c r="E545">
        <v>1093</v>
      </c>
      <c r="F545">
        <v>1412</v>
      </c>
      <c r="G545">
        <v>40</v>
      </c>
      <c r="H545">
        <v>30</v>
      </c>
      <c r="I545">
        <v>94.86</v>
      </c>
      <c r="J545">
        <v>742</v>
      </c>
    </row>
    <row r="546" spans="1:10" x14ac:dyDescent="0.35">
      <c r="A546" s="1">
        <v>45132</v>
      </c>
      <c r="B546" t="s">
        <v>14</v>
      </c>
      <c r="C546" t="s">
        <v>11</v>
      </c>
      <c r="D546">
        <v>3364</v>
      </c>
      <c r="E546">
        <v>1472</v>
      </c>
      <c r="F546">
        <v>1226</v>
      </c>
      <c r="G546">
        <v>23</v>
      </c>
      <c r="H546">
        <v>123</v>
      </c>
      <c r="I546">
        <v>16.05</v>
      </c>
      <c r="J546">
        <v>856</v>
      </c>
    </row>
    <row r="547" spans="1:10" x14ac:dyDescent="0.35">
      <c r="A547" s="1">
        <v>45132</v>
      </c>
      <c r="B547" t="s">
        <v>14</v>
      </c>
      <c r="C547" t="s">
        <v>12</v>
      </c>
      <c r="D547">
        <v>7485</v>
      </c>
      <c r="E547">
        <v>5551</v>
      </c>
      <c r="F547">
        <v>2771</v>
      </c>
      <c r="G547">
        <v>49</v>
      </c>
      <c r="H547">
        <v>31</v>
      </c>
      <c r="I547">
        <v>171.21</v>
      </c>
      <c r="J547">
        <v>1094</v>
      </c>
    </row>
    <row r="548" spans="1:10" x14ac:dyDescent="0.35">
      <c r="A548" s="1">
        <v>45132</v>
      </c>
      <c r="B548" t="s">
        <v>15</v>
      </c>
      <c r="C548" t="s">
        <v>11</v>
      </c>
      <c r="D548">
        <v>2715</v>
      </c>
      <c r="E548">
        <v>1399</v>
      </c>
      <c r="F548">
        <v>1185</v>
      </c>
      <c r="G548">
        <v>17</v>
      </c>
      <c r="H548">
        <v>53</v>
      </c>
      <c r="I548">
        <v>123.82</v>
      </c>
      <c r="J548">
        <v>771</v>
      </c>
    </row>
    <row r="549" spans="1:10" x14ac:dyDescent="0.35">
      <c r="A549" s="1">
        <v>45132</v>
      </c>
      <c r="B549" t="s">
        <v>15</v>
      </c>
      <c r="C549" t="s">
        <v>12</v>
      </c>
      <c r="D549">
        <v>1045</v>
      </c>
      <c r="E549">
        <v>575</v>
      </c>
      <c r="F549">
        <v>1589</v>
      </c>
      <c r="G549">
        <v>38</v>
      </c>
      <c r="H549">
        <v>455</v>
      </c>
      <c r="I549">
        <v>65.69</v>
      </c>
      <c r="J549">
        <v>124</v>
      </c>
    </row>
    <row r="550" spans="1:10" x14ac:dyDescent="0.35">
      <c r="A550" s="1">
        <v>45132</v>
      </c>
      <c r="B550" t="s">
        <v>16</v>
      </c>
      <c r="C550" t="s">
        <v>11</v>
      </c>
      <c r="D550">
        <v>3140</v>
      </c>
      <c r="E550">
        <v>3028</v>
      </c>
      <c r="F550">
        <v>3778</v>
      </c>
      <c r="G550">
        <v>141</v>
      </c>
      <c r="H550">
        <v>104</v>
      </c>
      <c r="I550">
        <v>163.16</v>
      </c>
      <c r="J550">
        <v>2095</v>
      </c>
    </row>
    <row r="551" spans="1:10" x14ac:dyDescent="0.35">
      <c r="A551" s="1">
        <v>45132</v>
      </c>
      <c r="B551" t="s">
        <v>16</v>
      </c>
      <c r="C551" t="s">
        <v>12</v>
      </c>
      <c r="D551">
        <v>5683</v>
      </c>
      <c r="E551">
        <v>4189</v>
      </c>
      <c r="F551">
        <v>3077</v>
      </c>
      <c r="G551">
        <v>38</v>
      </c>
      <c r="H551">
        <v>59</v>
      </c>
      <c r="I551">
        <v>41.9</v>
      </c>
      <c r="J551">
        <v>996</v>
      </c>
    </row>
    <row r="552" spans="1:10" x14ac:dyDescent="0.35">
      <c r="A552" s="1">
        <v>45133</v>
      </c>
      <c r="B552" t="s">
        <v>10</v>
      </c>
      <c r="C552" t="s">
        <v>11</v>
      </c>
      <c r="D552">
        <v>5804</v>
      </c>
      <c r="E552">
        <v>5648</v>
      </c>
      <c r="F552">
        <v>8068</v>
      </c>
      <c r="G552">
        <v>83</v>
      </c>
      <c r="H552">
        <v>87</v>
      </c>
      <c r="I552">
        <v>158.29</v>
      </c>
      <c r="J552">
        <v>3526</v>
      </c>
    </row>
    <row r="553" spans="1:10" x14ac:dyDescent="0.35">
      <c r="A553" s="1">
        <v>45133</v>
      </c>
      <c r="B553" t="s">
        <v>10</v>
      </c>
      <c r="C553" t="s">
        <v>12</v>
      </c>
      <c r="D553">
        <v>5674</v>
      </c>
      <c r="E553">
        <v>6328</v>
      </c>
      <c r="F553">
        <v>3640</v>
      </c>
      <c r="G553">
        <v>35</v>
      </c>
      <c r="H553">
        <v>34</v>
      </c>
      <c r="I553">
        <v>111.24</v>
      </c>
      <c r="J553">
        <v>2032</v>
      </c>
    </row>
    <row r="554" spans="1:10" x14ac:dyDescent="0.35">
      <c r="A554" s="1">
        <v>45133</v>
      </c>
      <c r="B554" t="s">
        <v>13</v>
      </c>
      <c r="C554" t="s">
        <v>11</v>
      </c>
      <c r="D554">
        <v>5758</v>
      </c>
      <c r="E554">
        <v>9438</v>
      </c>
      <c r="F554">
        <v>4402</v>
      </c>
      <c r="G554">
        <v>82</v>
      </c>
      <c r="H554">
        <v>58</v>
      </c>
      <c r="I554">
        <v>175.68</v>
      </c>
      <c r="J554">
        <v>2703</v>
      </c>
    </row>
    <row r="555" spans="1:10" x14ac:dyDescent="0.35">
      <c r="A555" s="1">
        <v>45133</v>
      </c>
      <c r="B555" t="s">
        <v>13</v>
      </c>
      <c r="C555" t="s">
        <v>12</v>
      </c>
      <c r="D555">
        <v>4714</v>
      </c>
      <c r="E555">
        <v>1341</v>
      </c>
      <c r="F555">
        <v>2215</v>
      </c>
      <c r="G555">
        <v>15</v>
      </c>
      <c r="H555">
        <v>34</v>
      </c>
      <c r="I555">
        <v>105.73</v>
      </c>
      <c r="J555">
        <v>1413</v>
      </c>
    </row>
    <row r="556" spans="1:10" x14ac:dyDescent="0.35">
      <c r="A556" s="1">
        <v>45133</v>
      </c>
      <c r="B556" t="s">
        <v>14</v>
      </c>
      <c r="C556" t="s">
        <v>11</v>
      </c>
      <c r="D556">
        <v>7286</v>
      </c>
      <c r="E556">
        <v>2237</v>
      </c>
      <c r="F556">
        <v>2543</v>
      </c>
      <c r="G556">
        <v>22</v>
      </c>
      <c r="H556">
        <v>47</v>
      </c>
      <c r="I556">
        <v>149.86000000000001</v>
      </c>
      <c r="J556">
        <v>1017</v>
      </c>
    </row>
    <row r="557" spans="1:10" x14ac:dyDescent="0.35">
      <c r="A557" s="1">
        <v>45133</v>
      </c>
      <c r="B557" t="s">
        <v>14</v>
      </c>
      <c r="C557" t="s">
        <v>12</v>
      </c>
      <c r="D557">
        <v>4382</v>
      </c>
      <c r="E557">
        <v>1335</v>
      </c>
      <c r="F557">
        <v>1381</v>
      </c>
      <c r="G557">
        <v>10</v>
      </c>
      <c r="H557">
        <v>100</v>
      </c>
      <c r="I557">
        <v>49.84</v>
      </c>
      <c r="J557">
        <v>804</v>
      </c>
    </row>
    <row r="558" spans="1:10" x14ac:dyDescent="0.35">
      <c r="A558" s="1">
        <v>45133</v>
      </c>
      <c r="B558" t="s">
        <v>15</v>
      </c>
      <c r="C558" t="s">
        <v>11</v>
      </c>
      <c r="D558">
        <v>1791</v>
      </c>
      <c r="E558">
        <v>1284</v>
      </c>
      <c r="F558">
        <v>2158</v>
      </c>
      <c r="G558">
        <v>19</v>
      </c>
      <c r="H558">
        <v>112</v>
      </c>
      <c r="I558">
        <v>50.68</v>
      </c>
      <c r="J558">
        <v>593</v>
      </c>
    </row>
    <row r="559" spans="1:10" x14ac:dyDescent="0.35">
      <c r="A559" s="1">
        <v>45133</v>
      </c>
      <c r="B559" t="s">
        <v>15</v>
      </c>
      <c r="C559" t="s">
        <v>12</v>
      </c>
      <c r="D559">
        <v>1618</v>
      </c>
      <c r="E559">
        <v>1327</v>
      </c>
      <c r="F559">
        <v>1773</v>
      </c>
      <c r="G559">
        <v>18</v>
      </c>
      <c r="H559">
        <v>537</v>
      </c>
      <c r="I559">
        <v>82.27</v>
      </c>
      <c r="J559">
        <v>206</v>
      </c>
    </row>
    <row r="560" spans="1:10" x14ac:dyDescent="0.35">
      <c r="A560" s="1">
        <v>45133</v>
      </c>
      <c r="B560" t="s">
        <v>16</v>
      </c>
      <c r="C560" t="s">
        <v>11</v>
      </c>
      <c r="D560">
        <v>5591</v>
      </c>
      <c r="E560">
        <v>4078</v>
      </c>
      <c r="F560">
        <v>1736</v>
      </c>
      <c r="G560">
        <v>23</v>
      </c>
      <c r="H560">
        <v>144</v>
      </c>
      <c r="I560">
        <v>55.68</v>
      </c>
      <c r="J560">
        <v>827</v>
      </c>
    </row>
    <row r="561" spans="1:10" x14ac:dyDescent="0.35">
      <c r="A561" s="1">
        <v>45133</v>
      </c>
      <c r="B561" t="s">
        <v>16</v>
      </c>
      <c r="C561" t="s">
        <v>12</v>
      </c>
      <c r="D561">
        <v>2764</v>
      </c>
      <c r="E561">
        <v>1180</v>
      </c>
      <c r="F561">
        <v>1572</v>
      </c>
      <c r="G561">
        <v>18</v>
      </c>
      <c r="H561">
        <v>55</v>
      </c>
      <c r="I561">
        <v>54.69</v>
      </c>
      <c r="J561">
        <v>682</v>
      </c>
    </row>
    <row r="562" spans="1:10" x14ac:dyDescent="0.35">
      <c r="A562" s="1">
        <v>45134</v>
      </c>
      <c r="B562" t="s">
        <v>10</v>
      </c>
      <c r="C562" t="s">
        <v>11</v>
      </c>
      <c r="D562">
        <v>10244</v>
      </c>
      <c r="E562">
        <v>8289</v>
      </c>
      <c r="F562">
        <v>4750</v>
      </c>
      <c r="G562">
        <v>55</v>
      </c>
      <c r="H562">
        <v>56</v>
      </c>
      <c r="I562">
        <v>136.76</v>
      </c>
      <c r="J562">
        <v>1650</v>
      </c>
    </row>
    <row r="563" spans="1:10" x14ac:dyDescent="0.35">
      <c r="A563" s="1">
        <v>45134</v>
      </c>
      <c r="B563" t="s">
        <v>10</v>
      </c>
      <c r="C563" t="s">
        <v>12</v>
      </c>
      <c r="D563">
        <v>5249</v>
      </c>
      <c r="E563">
        <v>1570</v>
      </c>
      <c r="F563">
        <v>3133</v>
      </c>
      <c r="G563">
        <v>41</v>
      </c>
      <c r="H563">
        <v>116</v>
      </c>
      <c r="I563">
        <v>178.09</v>
      </c>
      <c r="J563">
        <v>982</v>
      </c>
    </row>
    <row r="564" spans="1:10" x14ac:dyDescent="0.35">
      <c r="A564" s="1">
        <v>45134</v>
      </c>
      <c r="B564" t="s">
        <v>13</v>
      </c>
      <c r="C564" t="s">
        <v>11</v>
      </c>
      <c r="D564">
        <v>3702</v>
      </c>
      <c r="E564">
        <v>1338</v>
      </c>
      <c r="F564">
        <v>1956</v>
      </c>
      <c r="G564">
        <v>12</v>
      </c>
      <c r="H564">
        <v>116</v>
      </c>
      <c r="I564">
        <v>92.17</v>
      </c>
      <c r="J564">
        <v>1033</v>
      </c>
    </row>
    <row r="565" spans="1:10" x14ac:dyDescent="0.35">
      <c r="A565" s="1">
        <v>45134</v>
      </c>
      <c r="B565" t="s">
        <v>13</v>
      </c>
      <c r="C565" t="s">
        <v>12</v>
      </c>
      <c r="D565">
        <v>4381</v>
      </c>
      <c r="E565">
        <v>2422</v>
      </c>
      <c r="F565">
        <v>2128</v>
      </c>
      <c r="G565">
        <v>25</v>
      </c>
      <c r="H565">
        <v>92</v>
      </c>
      <c r="I565">
        <v>48.25</v>
      </c>
      <c r="J565">
        <v>1275</v>
      </c>
    </row>
    <row r="566" spans="1:10" x14ac:dyDescent="0.35">
      <c r="A566" s="1">
        <v>45134</v>
      </c>
      <c r="B566" t="s">
        <v>14</v>
      </c>
      <c r="C566" t="s">
        <v>11</v>
      </c>
      <c r="D566">
        <v>3146</v>
      </c>
      <c r="E566">
        <v>1728</v>
      </c>
      <c r="F566">
        <v>1066</v>
      </c>
      <c r="G566">
        <v>14</v>
      </c>
      <c r="H566">
        <v>698</v>
      </c>
      <c r="I566">
        <v>150.03</v>
      </c>
      <c r="J566">
        <v>367</v>
      </c>
    </row>
    <row r="567" spans="1:10" x14ac:dyDescent="0.35">
      <c r="A567" s="1">
        <v>45134</v>
      </c>
      <c r="B567" t="s">
        <v>14</v>
      </c>
      <c r="C567" t="s">
        <v>12</v>
      </c>
      <c r="D567">
        <v>3062</v>
      </c>
      <c r="E567">
        <v>1773</v>
      </c>
      <c r="F567">
        <v>1098</v>
      </c>
      <c r="G567">
        <v>19</v>
      </c>
      <c r="H567">
        <v>119</v>
      </c>
      <c r="I567">
        <v>56.75</v>
      </c>
      <c r="J567">
        <v>651</v>
      </c>
    </row>
    <row r="568" spans="1:10" x14ac:dyDescent="0.35">
      <c r="A568" s="1">
        <v>45134</v>
      </c>
      <c r="B568" t="s">
        <v>15</v>
      </c>
      <c r="C568" t="s">
        <v>11</v>
      </c>
      <c r="D568">
        <v>4297</v>
      </c>
      <c r="E568">
        <v>1220</v>
      </c>
      <c r="F568">
        <v>1409</v>
      </c>
      <c r="G568">
        <v>10</v>
      </c>
      <c r="H568">
        <v>88</v>
      </c>
      <c r="I568">
        <v>126.62</v>
      </c>
      <c r="J568">
        <v>1034</v>
      </c>
    </row>
    <row r="569" spans="1:10" x14ac:dyDescent="0.35">
      <c r="A569" s="1">
        <v>45134</v>
      </c>
      <c r="B569" t="s">
        <v>15</v>
      </c>
      <c r="C569" t="s">
        <v>12</v>
      </c>
      <c r="D569">
        <v>1446</v>
      </c>
      <c r="E569">
        <v>975</v>
      </c>
      <c r="F569">
        <v>1896</v>
      </c>
      <c r="G569">
        <v>13</v>
      </c>
      <c r="H569">
        <v>668</v>
      </c>
      <c r="I569">
        <v>18.03</v>
      </c>
      <c r="J569">
        <v>337</v>
      </c>
    </row>
    <row r="570" spans="1:10" x14ac:dyDescent="0.35">
      <c r="A570" s="1">
        <v>45134</v>
      </c>
      <c r="B570" t="s">
        <v>16</v>
      </c>
      <c r="C570" t="s">
        <v>11</v>
      </c>
      <c r="D570">
        <v>5924</v>
      </c>
      <c r="E570">
        <v>4374</v>
      </c>
      <c r="F570">
        <v>2888</v>
      </c>
      <c r="G570">
        <v>34</v>
      </c>
      <c r="H570">
        <v>41</v>
      </c>
      <c r="I570">
        <v>36.61</v>
      </c>
      <c r="J570">
        <v>1837</v>
      </c>
    </row>
    <row r="571" spans="1:10" x14ac:dyDescent="0.35">
      <c r="A571" s="1">
        <v>45134</v>
      </c>
      <c r="B571" t="s">
        <v>16</v>
      </c>
      <c r="C571" t="s">
        <v>12</v>
      </c>
      <c r="D571">
        <v>5080</v>
      </c>
      <c r="E571">
        <v>1665</v>
      </c>
      <c r="F571">
        <v>1697</v>
      </c>
      <c r="G571">
        <v>22</v>
      </c>
      <c r="H571">
        <v>75</v>
      </c>
      <c r="I571">
        <v>168.26</v>
      </c>
      <c r="J571">
        <v>1270</v>
      </c>
    </row>
    <row r="572" spans="1:10" x14ac:dyDescent="0.35">
      <c r="A572" s="1">
        <v>45135</v>
      </c>
      <c r="B572" t="s">
        <v>10</v>
      </c>
      <c r="C572" t="s">
        <v>11</v>
      </c>
      <c r="D572">
        <v>9489</v>
      </c>
      <c r="E572">
        <v>3141</v>
      </c>
      <c r="F572">
        <v>4619</v>
      </c>
      <c r="G572">
        <v>17</v>
      </c>
      <c r="H572">
        <v>124</v>
      </c>
      <c r="I572">
        <v>119.18</v>
      </c>
      <c r="J572">
        <v>3063</v>
      </c>
    </row>
    <row r="573" spans="1:10" x14ac:dyDescent="0.35">
      <c r="A573" s="1">
        <v>45135</v>
      </c>
      <c r="B573" t="s">
        <v>10</v>
      </c>
      <c r="C573" t="s">
        <v>12</v>
      </c>
      <c r="D573">
        <v>8565</v>
      </c>
      <c r="E573">
        <v>7654</v>
      </c>
      <c r="F573">
        <v>4731</v>
      </c>
      <c r="G573">
        <v>103</v>
      </c>
      <c r="H573">
        <v>35</v>
      </c>
      <c r="I573">
        <v>23.32</v>
      </c>
      <c r="J573">
        <v>2768</v>
      </c>
    </row>
    <row r="574" spans="1:10" x14ac:dyDescent="0.35">
      <c r="A574" s="1">
        <v>45135</v>
      </c>
      <c r="B574" t="s">
        <v>13</v>
      </c>
      <c r="C574" t="s">
        <v>11</v>
      </c>
      <c r="D574">
        <v>8915</v>
      </c>
      <c r="E574">
        <v>7938</v>
      </c>
      <c r="F574">
        <v>3663</v>
      </c>
      <c r="G574">
        <v>55</v>
      </c>
      <c r="H574">
        <v>55</v>
      </c>
      <c r="I574">
        <v>114.15</v>
      </c>
      <c r="J574">
        <v>1697</v>
      </c>
    </row>
    <row r="575" spans="1:10" x14ac:dyDescent="0.35">
      <c r="A575" s="1">
        <v>45135</v>
      </c>
      <c r="B575" t="s">
        <v>13</v>
      </c>
      <c r="C575" t="s">
        <v>12</v>
      </c>
      <c r="D575">
        <v>3592</v>
      </c>
      <c r="E575">
        <v>2932</v>
      </c>
      <c r="F575">
        <v>1240</v>
      </c>
      <c r="G575">
        <v>44</v>
      </c>
      <c r="H575">
        <v>48</v>
      </c>
      <c r="I575">
        <v>101.7</v>
      </c>
      <c r="J575">
        <v>847</v>
      </c>
    </row>
    <row r="576" spans="1:10" x14ac:dyDescent="0.35">
      <c r="A576" s="1">
        <v>45135</v>
      </c>
      <c r="B576" t="s">
        <v>14</v>
      </c>
      <c r="C576" t="s">
        <v>11</v>
      </c>
      <c r="D576">
        <v>9652</v>
      </c>
      <c r="E576">
        <v>9227</v>
      </c>
      <c r="F576">
        <v>3787</v>
      </c>
      <c r="G576">
        <v>111</v>
      </c>
      <c r="H576">
        <v>47</v>
      </c>
      <c r="I576">
        <v>63.81</v>
      </c>
      <c r="J576">
        <v>2563</v>
      </c>
    </row>
    <row r="577" spans="1:10" x14ac:dyDescent="0.35">
      <c r="A577" s="1">
        <v>45135</v>
      </c>
      <c r="B577" t="s">
        <v>14</v>
      </c>
      <c r="C577" t="s">
        <v>12</v>
      </c>
      <c r="D577">
        <v>5468</v>
      </c>
      <c r="E577">
        <v>4290</v>
      </c>
      <c r="F577">
        <v>3157</v>
      </c>
      <c r="G577">
        <v>26</v>
      </c>
      <c r="H577">
        <v>132</v>
      </c>
      <c r="I577">
        <v>17.68</v>
      </c>
      <c r="J577">
        <v>1410</v>
      </c>
    </row>
    <row r="578" spans="1:10" x14ac:dyDescent="0.35">
      <c r="A578" s="1">
        <v>45135</v>
      </c>
      <c r="B578" t="s">
        <v>15</v>
      </c>
      <c r="C578" t="s">
        <v>11</v>
      </c>
      <c r="D578">
        <v>5399</v>
      </c>
      <c r="E578">
        <v>3957</v>
      </c>
      <c r="F578">
        <v>2976</v>
      </c>
      <c r="G578">
        <v>61</v>
      </c>
      <c r="H578">
        <v>68</v>
      </c>
      <c r="I578">
        <v>30.58</v>
      </c>
      <c r="J578">
        <v>1063</v>
      </c>
    </row>
    <row r="579" spans="1:10" x14ac:dyDescent="0.35">
      <c r="A579" s="1">
        <v>45135</v>
      </c>
      <c r="B579" t="s">
        <v>15</v>
      </c>
      <c r="C579" t="s">
        <v>12</v>
      </c>
      <c r="D579">
        <v>2774</v>
      </c>
      <c r="E579">
        <v>1586</v>
      </c>
      <c r="F579">
        <v>1097</v>
      </c>
      <c r="G579">
        <v>17</v>
      </c>
      <c r="H579">
        <v>71</v>
      </c>
      <c r="I579">
        <v>143.66999999999999</v>
      </c>
      <c r="J579">
        <v>771</v>
      </c>
    </row>
    <row r="580" spans="1:10" x14ac:dyDescent="0.35">
      <c r="A580" s="1">
        <v>45135</v>
      </c>
      <c r="B580" t="s">
        <v>16</v>
      </c>
      <c r="C580" t="s">
        <v>11</v>
      </c>
      <c r="D580">
        <v>5965</v>
      </c>
      <c r="E580">
        <v>5259</v>
      </c>
      <c r="F580">
        <v>2367</v>
      </c>
      <c r="G580">
        <v>27</v>
      </c>
      <c r="H580">
        <v>35</v>
      </c>
      <c r="I580">
        <v>104.15</v>
      </c>
      <c r="J580">
        <v>1301</v>
      </c>
    </row>
    <row r="581" spans="1:10" x14ac:dyDescent="0.35">
      <c r="A581" s="1">
        <v>45135</v>
      </c>
      <c r="B581" t="s">
        <v>16</v>
      </c>
      <c r="C581" t="s">
        <v>12</v>
      </c>
      <c r="D581">
        <v>2374</v>
      </c>
      <c r="E581">
        <v>2098</v>
      </c>
      <c r="F581">
        <v>1352</v>
      </c>
      <c r="G581">
        <v>31</v>
      </c>
      <c r="H581">
        <v>78</v>
      </c>
      <c r="I581">
        <v>77.7</v>
      </c>
      <c r="J581">
        <v>742</v>
      </c>
    </row>
    <row r="582" spans="1:10" x14ac:dyDescent="0.35">
      <c r="A582" s="1">
        <v>45136</v>
      </c>
      <c r="B582" t="s">
        <v>10</v>
      </c>
      <c r="C582" t="s">
        <v>11</v>
      </c>
      <c r="D582">
        <v>5327</v>
      </c>
      <c r="E582">
        <v>5494</v>
      </c>
      <c r="F582">
        <v>7225</v>
      </c>
      <c r="G582">
        <v>126</v>
      </c>
      <c r="H582">
        <v>35</v>
      </c>
      <c r="I582">
        <v>44.19</v>
      </c>
      <c r="J582">
        <v>3728</v>
      </c>
    </row>
    <row r="583" spans="1:10" x14ac:dyDescent="0.35">
      <c r="A583" s="1">
        <v>45136</v>
      </c>
      <c r="B583" t="s">
        <v>10</v>
      </c>
      <c r="C583" t="s">
        <v>12</v>
      </c>
      <c r="D583">
        <v>5447</v>
      </c>
      <c r="E583">
        <v>5138</v>
      </c>
      <c r="F583">
        <v>1777</v>
      </c>
      <c r="G583">
        <v>50</v>
      </c>
      <c r="H583">
        <v>35</v>
      </c>
      <c r="I583">
        <v>67.8</v>
      </c>
      <c r="J583">
        <v>586</v>
      </c>
    </row>
    <row r="584" spans="1:10" x14ac:dyDescent="0.35">
      <c r="A584" s="1">
        <v>45136</v>
      </c>
      <c r="B584" t="s">
        <v>13</v>
      </c>
      <c r="C584" t="s">
        <v>11</v>
      </c>
      <c r="D584">
        <v>7562</v>
      </c>
      <c r="E584">
        <v>3479</v>
      </c>
      <c r="F584">
        <v>3794</v>
      </c>
      <c r="G584">
        <v>34</v>
      </c>
      <c r="H584">
        <v>31</v>
      </c>
      <c r="I584">
        <v>119.35</v>
      </c>
      <c r="J584">
        <v>2303</v>
      </c>
    </row>
    <row r="585" spans="1:10" x14ac:dyDescent="0.35">
      <c r="A585" s="1">
        <v>45136</v>
      </c>
      <c r="B585" t="s">
        <v>13</v>
      </c>
      <c r="C585" t="s">
        <v>12</v>
      </c>
      <c r="D585">
        <v>7594</v>
      </c>
      <c r="E585">
        <v>5468</v>
      </c>
      <c r="F585">
        <v>3583</v>
      </c>
      <c r="G585">
        <v>35</v>
      </c>
      <c r="H585">
        <v>137</v>
      </c>
      <c r="I585">
        <v>97.49</v>
      </c>
      <c r="J585">
        <v>1489</v>
      </c>
    </row>
    <row r="586" spans="1:10" x14ac:dyDescent="0.35">
      <c r="A586" s="1">
        <v>45136</v>
      </c>
      <c r="B586" t="s">
        <v>14</v>
      </c>
      <c r="C586" t="s">
        <v>11</v>
      </c>
      <c r="D586">
        <v>7361</v>
      </c>
      <c r="E586">
        <v>2256</v>
      </c>
      <c r="F586">
        <v>3696</v>
      </c>
      <c r="G586">
        <v>32</v>
      </c>
      <c r="H586">
        <v>126</v>
      </c>
      <c r="I586">
        <v>116.82</v>
      </c>
      <c r="J586">
        <v>2385</v>
      </c>
    </row>
    <row r="587" spans="1:10" x14ac:dyDescent="0.35">
      <c r="A587" s="1">
        <v>45136</v>
      </c>
      <c r="B587" t="s">
        <v>14</v>
      </c>
      <c r="C587" t="s">
        <v>12</v>
      </c>
      <c r="D587">
        <v>6847</v>
      </c>
      <c r="E587">
        <v>2789</v>
      </c>
      <c r="F587">
        <v>3186</v>
      </c>
      <c r="G587">
        <v>21</v>
      </c>
      <c r="H587">
        <v>32</v>
      </c>
      <c r="I587">
        <v>60.84</v>
      </c>
      <c r="J587">
        <v>1706</v>
      </c>
    </row>
    <row r="588" spans="1:10" x14ac:dyDescent="0.35">
      <c r="A588" s="1">
        <v>45136</v>
      </c>
      <c r="B588" t="s">
        <v>15</v>
      </c>
      <c r="C588" t="s">
        <v>11</v>
      </c>
      <c r="D588">
        <v>2770</v>
      </c>
      <c r="E588">
        <v>836</v>
      </c>
      <c r="F588">
        <v>2131</v>
      </c>
      <c r="G588">
        <v>38</v>
      </c>
      <c r="H588">
        <v>110</v>
      </c>
      <c r="I588">
        <v>120.23</v>
      </c>
      <c r="J588">
        <v>518</v>
      </c>
    </row>
    <row r="589" spans="1:10" x14ac:dyDescent="0.35">
      <c r="A589" s="1">
        <v>45136</v>
      </c>
      <c r="B589" t="s">
        <v>15</v>
      </c>
      <c r="C589" t="s">
        <v>12</v>
      </c>
      <c r="D589">
        <v>3540</v>
      </c>
      <c r="E589">
        <v>3226</v>
      </c>
      <c r="F589">
        <v>1350</v>
      </c>
      <c r="G589">
        <v>36</v>
      </c>
      <c r="H589">
        <v>94</v>
      </c>
      <c r="I589">
        <v>116.25</v>
      </c>
      <c r="J589">
        <v>648</v>
      </c>
    </row>
    <row r="590" spans="1:10" x14ac:dyDescent="0.35">
      <c r="A590" s="1">
        <v>45136</v>
      </c>
      <c r="B590" t="s">
        <v>16</v>
      </c>
      <c r="C590" t="s">
        <v>11</v>
      </c>
      <c r="D590">
        <v>6418</v>
      </c>
      <c r="E590">
        <v>6054</v>
      </c>
      <c r="F590">
        <v>2186</v>
      </c>
      <c r="G590">
        <v>69</v>
      </c>
      <c r="H590">
        <v>142</v>
      </c>
      <c r="I590">
        <v>91.92</v>
      </c>
      <c r="J590">
        <v>1535</v>
      </c>
    </row>
    <row r="591" spans="1:10" x14ac:dyDescent="0.35">
      <c r="A591" s="1">
        <v>45136</v>
      </c>
      <c r="B591" t="s">
        <v>16</v>
      </c>
      <c r="C591" t="s">
        <v>12</v>
      </c>
      <c r="D591">
        <v>6054</v>
      </c>
      <c r="E591">
        <v>4506</v>
      </c>
      <c r="F591">
        <v>2429</v>
      </c>
      <c r="G591">
        <v>63</v>
      </c>
      <c r="H591">
        <v>33</v>
      </c>
      <c r="I591">
        <v>67.099999999999994</v>
      </c>
      <c r="J591">
        <v>1758</v>
      </c>
    </row>
    <row r="592" spans="1:10" x14ac:dyDescent="0.35">
      <c r="A592" s="1">
        <v>45137</v>
      </c>
      <c r="B592" t="s">
        <v>10</v>
      </c>
      <c r="C592" t="s">
        <v>11</v>
      </c>
      <c r="D592">
        <v>6221</v>
      </c>
      <c r="E592">
        <v>5860</v>
      </c>
      <c r="F592">
        <v>2432</v>
      </c>
      <c r="G592">
        <v>86</v>
      </c>
      <c r="H592">
        <v>73</v>
      </c>
      <c r="I592">
        <v>126.56</v>
      </c>
      <c r="J592">
        <v>1787</v>
      </c>
    </row>
    <row r="593" spans="1:10" x14ac:dyDescent="0.35">
      <c r="A593" s="1">
        <v>45137</v>
      </c>
      <c r="B593" t="s">
        <v>10</v>
      </c>
      <c r="C593" t="s">
        <v>12</v>
      </c>
      <c r="D593">
        <v>11367</v>
      </c>
      <c r="E593">
        <v>6102</v>
      </c>
      <c r="F593">
        <v>4266</v>
      </c>
      <c r="G593">
        <v>97</v>
      </c>
      <c r="H593">
        <v>56</v>
      </c>
      <c r="I593">
        <v>72.03</v>
      </c>
      <c r="J593">
        <v>1511</v>
      </c>
    </row>
    <row r="594" spans="1:10" x14ac:dyDescent="0.35">
      <c r="A594" s="1">
        <v>45137</v>
      </c>
      <c r="B594" t="s">
        <v>13</v>
      </c>
      <c r="C594" t="s">
        <v>11</v>
      </c>
      <c r="D594">
        <v>3552</v>
      </c>
      <c r="E594">
        <v>1011</v>
      </c>
      <c r="F594">
        <v>1605</v>
      </c>
      <c r="G594">
        <v>9</v>
      </c>
      <c r="H594">
        <v>45</v>
      </c>
      <c r="I594">
        <v>32.549999999999997</v>
      </c>
      <c r="J594">
        <v>598</v>
      </c>
    </row>
    <row r="595" spans="1:10" x14ac:dyDescent="0.35">
      <c r="A595" s="1">
        <v>45137</v>
      </c>
      <c r="B595" t="s">
        <v>13</v>
      </c>
      <c r="C595" t="s">
        <v>12</v>
      </c>
      <c r="D595">
        <v>2709</v>
      </c>
      <c r="E595">
        <v>1342</v>
      </c>
      <c r="F595">
        <v>2119</v>
      </c>
      <c r="G595">
        <v>13</v>
      </c>
      <c r="H595">
        <v>82</v>
      </c>
      <c r="I595">
        <v>116.31</v>
      </c>
      <c r="J595">
        <v>632</v>
      </c>
    </row>
    <row r="596" spans="1:10" x14ac:dyDescent="0.35">
      <c r="A596" s="1">
        <v>45137</v>
      </c>
      <c r="B596" t="s">
        <v>14</v>
      </c>
      <c r="C596" t="s">
        <v>11</v>
      </c>
      <c r="D596">
        <v>7031</v>
      </c>
      <c r="E596">
        <v>4003</v>
      </c>
      <c r="F596">
        <v>3070</v>
      </c>
      <c r="G596">
        <v>39</v>
      </c>
      <c r="H596">
        <v>52</v>
      </c>
      <c r="I596">
        <v>172.5</v>
      </c>
      <c r="J596">
        <v>1494</v>
      </c>
    </row>
    <row r="597" spans="1:10" x14ac:dyDescent="0.35">
      <c r="A597" s="1">
        <v>45137</v>
      </c>
      <c r="B597" t="s">
        <v>14</v>
      </c>
      <c r="C597" t="s">
        <v>12</v>
      </c>
      <c r="D597">
        <v>2477</v>
      </c>
      <c r="E597">
        <v>916</v>
      </c>
      <c r="F597">
        <v>1133</v>
      </c>
      <c r="G597">
        <v>40</v>
      </c>
      <c r="H597">
        <v>728</v>
      </c>
      <c r="I597">
        <v>35.93</v>
      </c>
      <c r="J597">
        <v>397</v>
      </c>
    </row>
    <row r="598" spans="1:10" x14ac:dyDescent="0.35">
      <c r="A598" s="1">
        <v>45137</v>
      </c>
      <c r="B598" t="s">
        <v>15</v>
      </c>
      <c r="C598" t="s">
        <v>11</v>
      </c>
      <c r="D598">
        <v>1863</v>
      </c>
      <c r="E598">
        <v>665</v>
      </c>
      <c r="F598">
        <v>1889</v>
      </c>
      <c r="G598">
        <v>9</v>
      </c>
      <c r="H598">
        <v>552</v>
      </c>
      <c r="I598">
        <v>158.87</v>
      </c>
      <c r="J598">
        <v>221</v>
      </c>
    </row>
    <row r="599" spans="1:10" x14ac:dyDescent="0.35">
      <c r="A599" s="1">
        <v>45137</v>
      </c>
      <c r="B599" t="s">
        <v>15</v>
      </c>
      <c r="C599" t="s">
        <v>12</v>
      </c>
      <c r="D599">
        <v>1877</v>
      </c>
      <c r="E599">
        <v>608</v>
      </c>
      <c r="F599">
        <v>1943</v>
      </c>
      <c r="G599">
        <v>38</v>
      </c>
      <c r="H599">
        <v>724</v>
      </c>
      <c r="I599">
        <v>164.82</v>
      </c>
      <c r="J599">
        <v>393</v>
      </c>
    </row>
    <row r="600" spans="1:10" x14ac:dyDescent="0.35">
      <c r="A600" s="1">
        <v>45137</v>
      </c>
      <c r="B600" t="s">
        <v>16</v>
      </c>
      <c r="C600" t="s">
        <v>11</v>
      </c>
      <c r="D600">
        <v>6165</v>
      </c>
      <c r="E600">
        <v>2794</v>
      </c>
      <c r="F600">
        <v>2130</v>
      </c>
      <c r="G600">
        <v>19</v>
      </c>
      <c r="H600">
        <v>70</v>
      </c>
      <c r="I600">
        <v>101.4</v>
      </c>
      <c r="J600">
        <v>1053</v>
      </c>
    </row>
    <row r="601" spans="1:10" x14ac:dyDescent="0.35">
      <c r="A601" s="1">
        <v>45137</v>
      </c>
      <c r="B601" t="s">
        <v>16</v>
      </c>
      <c r="C601" t="s">
        <v>12</v>
      </c>
      <c r="D601">
        <v>4015</v>
      </c>
      <c r="E601">
        <v>3146</v>
      </c>
      <c r="F601">
        <v>2202</v>
      </c>
      <c r="G601">
        <v>37</v>
      </c>
      <c r="H601">
        <v>83</v>
      </c>
      <c r="I601">
        <v>166.11</v>
      </c>
      <c r="J601">
        <v>740</v>
      </c>
    </row>
    <row r="602" spans="1:10" x14ac:dyDescent="0.35">
      <c r="A602" s="1">
        <v>45138</v>
      </c>
      <c r="B602" t="s">
        <v>10</v>
      </c>
      <c r="C602" t="s">
        <v>11</v>
      </c>
      <c r="D602">
        <v>17204</v>
      </c>
      <c r="E602">
        <v>13833</v>
      </c>
      <c r="F602">
        <v>10017</v>
      </c>
      <c r="G602">
        <v>114</v>
      </c>
      <c r="H602">
        <v>33</v>
      </c>
      <c r="I602">
        <v>68.739999999999995</v>
      </c>
      <c r="J602">
        <v>3565</v>
      </c>
    </row>
    <row r="603" spans="1:10" x14ac:dyDescent="0.35">
      <c r="A603" s="1">
        <v>45138</v>
      </c>
      <c r="B603" t="s">
        <v>10</v>
      </c>
      <c r="C603" t="s">
        <v>12</v>
      </c>
      <c r="D603">
        <v>6920</v>
      </c>
      <c r="E603">
        <v>5258</v>
      </c>
      <c r="F603">
        <v>2918</v>
      </c>
      <c r="G603">
        <v>29</v>
      </c>
      <c r="H603">
        <v>55</v>
      </c>
      <c r="I603">
        <v>16.73</v>
      </c>
      <c r="J603">
        <v>1553</v>
      </c>
    </row>
    <row r="604" spans="1:10" x14ac:dyDescent="0.35">
      <c r="A604" s="1">
        <v>45138</v>
      </c>
      <c r="B604" t="s">
        <v>13</v>
      </c>
      <c r="C604" t="s">
        <v>11</v>
      </c>
      <c r="D604">
        <v>4248</v>
      </c>
      <c r="E604">
        <v>1475</v>
      </c>
      <c r="F604">
        <v>2062</v>
      </c>
      <c r="G604">
        <v>21</v>
      </c>
      <c r="H604">
        <v>52</v>
      </c>
      <c r="I604">
        <v>149.37</v>
      </c>
      <c r="J604">
        <v>936</v>
      </c>
    </row>
    <row r="605" spans="1:10" x14ac:dyDescent="0.35">
      <c r="A605" s="1">
        <v>45138</v>
      </c>
      <c r="B605" t="s">
        <v>13</v>
      </c>
      <c r="C605" t="s">
        <v>12</v>
      </c>
      <c r="D605">
        <v>2474</v>
      </c>
      <c r="E605">
        <v>1603</v>
      </c>
      <c r="F605">
        <v>1195</v>
      </c>
      <c r="G605">
        <v>15</v>
      </c>
      <c r="H605">
        <v>702</v>
      </c>
      <c r="I605">
        <v>113.91</v>
      </c>
      <c r="J605">
        <v>371</v>
      </c>
    </row>
    <row r="606" spans="1:10" x14ac:dyDescent="0.35">
      <c r="A606" s="1">
        <v>45138</v>
      </c>
      <c r="B606" t="s">
        <v>14</v>
      </c>
      <c r="C606" t="s">
        <v>11</v>
      </c>
      <c r="D606">
        <v>8939</v>
      </c>
      <c r="E606">
        <v>5101</v>
      </c>
      <c r="F606">
        <v>5110</v>
      </c>
      <c r="G606">
        <v>70</v>
      </c>
      <c r="H606">
        <v>66</v>
      </c>
      <c r="I606">
        <v>151.35</v>
      </c>
      <c r="J606">
        <v>3454</v>
      </c>
    </row>
    <row r="607" spans="1:10" x14ac:dyDescent="0.35">
      <c r="A607" s="1">
        <v>45138</v>
      </c>
      <c r="B607" t="s">
        <v>14</v>
      </c>
      <c r="C607" t="s">
        <v>12</v>
      </c>
      <c r="D607">
        <v>7204</v>
      </c>
      <c r="E607">
        <v>3100</v>
      </c>
      <c r="F607">
        <v>2308</v>
      </c>
      <c r="G607">
        <v>34</v>
      </c>
      <c r="H607">
        <v>50</v>
      </c>
      <c r="I607">
        <v>88.49</v>
      </c>
      <c r="J607">
        <v>919</v>
      </c>
    </row>
    <row r="608" spans="1:10" x14ac:dyDescent="0.35">
      <c r="A608" s="1">
        <v>45138</v>
      </c>
      <c r="B608" t="s">
        <v>15</v>
      </c>
      <c r="C608" t="s">
        <v>11</v>
      </c>
      <c r="D608">
        <v>4904</v>
      </c>
      <c r="E608">
        <v>2639</v>
      </c>
      <c r="F608">
        <v>2267</v>
      </c>
      <c r="G608">
        <v>43</v>
      </c>
      <c r="H608">
        <v>65</v>
      </c>
      <c r="I608">
        <v>93.93</v>
      </c>
      <c r="J608">
        <v>1298</v>
      </c>
    </row>
    <row r="609" spans="1:10" x14ac:dyDescent="0.35">
      <c r="A609" s="1">
        <v>45138</v>
      </c>
      <c r="B609" t="s">
        <v>15</v>
      </c>
      <c r="C609" t="s">
        <v>12</v>
      </c>
      <c r="D609">
        <v>2829</v>
      </c>
      <c r="E609">
        <v>1055</v>
      </c>
      <c r="F609">
        <v>1362</v>
      </c>
      <c r="G609">
        <v>39</v>
      </c>
      <c r="H609">
        <v>86</v>
      </c>
      <c r="I609">
        <v>104.59</v>
      </c>
      <c r="J609">
        <v>876</v>
      </c>
    </row>
    <row r="610" spans="1:10" x14ac:dyDescent="0.35">
      <c r="A610" s="1">
        <v>45138</v>
      </c>
      <c r="B610" t="s">
        <v>16</v>
      </c>
      <c r="C610" t="s">
        <v>11</v>
      </c>
      <c r="D610">
        <v>8449</v>
      </c>
      <c r="E610">
        <v>2514</v>
      </c>
      <c r="F610">
        <v>2949</v>
      </c>
      <c r="G610">
        <v>25</v>
      </c>
      <c r="H610">
        <v>80</v>
      </c>
      <c r="I610">
        <v>23.44</v>
      </c>
      <c r="J610">
        <v>1129</v>
      </c>
    </row>
    <row r="611" spans="1:10" x14ac:dyDescent="0.35">
      <c r="A611" s="1">
        <v>45138</v>
      </c>
      <c r="B611" t="s">
        <v>16</v>
      </c>
      <c r="C611" t="s">
        <v>12</v>
      </c>
      <c r="D611">
        <v>3068</v>
      </c>
      <c r="E611">
        <v>2624</v>
      </c>
      <c r="F611">
        <v>1734</v>
      </c>
      <c r="G611">
        <v>42</v>
      </c>
      <c r="H611">
        <v>110</v>
      </c>
      <c r="I611">
        <v>98.44</v>
      </c>
      <c r="J611">
        <v>731</v>
      </c>
    </row>
    <row r="612" spans="1:10" x14ac:dyDescent="0.35">
      <c r="A612" s="1">
        <v>45139</v>
      </c>
      <c r="B612" t="s">
        <v>10</v>
      </c>
      <c r="C612" t="s">
        <v>11</v>
      </c>
      <c r="D612">
        <v>16096</v>
      </c>
      <c r="E612">
        <v>4161</v>
      </c>
      <c r="F612">
        <v>7342</v>
      </c>
      <c r="G612">
        <v>48</v>
      </c>
      <c r="H612">
        <v>78</v>
      </c>
      <c r="I612">
        <v>173.37</v>
      </c>
      <c r="J612">
        <v>5488</v>
      </c>
    </row>
    <row r="613" spans="1:10" x14ac:dyDescent="0.35">
      <c r="A613" s="1">
        <v>45139</v>
      </c>
      <c r="B613" t="s">
        <v>10</v>
      </c>
      <c r="C613" t="s">
        <v>12</v>
      </c>
      <c r="D613">
        <v>3610</v>
      </c>
      <c r="E613">
        <v>3251</v>
      </c>
      <c r="F613">
        <v>1973</v>
      </c>
      <c r="G613">
        <v>46</v>
      </c>
      <c r="H613">
        <v>60</v>
      </c>
      <c r="I613">
        <v>69.510000000000005</v>
      </c>
      <c r="J613">
        <v>1394</v>
      </c>
    </row>
    <row r="614" spans="1:10" x14ac:dyDescent="0.35">
      <c r="A614" s="1">
        <v>45139</v>
      </c>
      <c r="B614" t="s">
        <v>13</v>
      </c>
      <c r="C614" t="s">
        <v>11</v>
      </c>
      <c r="D614">
        <v>3739</v>
      </c>
      <c r="E614">
        <v>3164</v>
      </c>
      <c r="F614">
        <v>1208</v>
      </c>
      <c r="G614">
        <v>27</v>
      </c>
      <c r="H614">
        <v>786</v>
      </c>
      <c r="I614">
        <v>139.87</v>
      </c>
      <c r="J614">
        <v>455</v>
      </c>
    </row>
    <row r="615" spans="1:10" x14ac:dyDescent="0.35">
      <c r="A615" s="1">
        <v>45139</v>
      </c>
      <c r="B615" t="s">
        <v>13</v>
      </c>
      <c r="C615" t="s">
        <v>12</v>
      </c>
      <c r="D615">
        <v>3567</v>
      </c>
      <c r="E615">
        <v>1487</v>
      </c>
      <c r="F615">
        <v>2129</v>
      </c>
      <c r="G615">
        <v>14</v>
      </c>
      <c r="H615">
        <v>94</v>
      </c>
      <c r="I615">
        <v>168.13</v>
      </c>
      <c r="J615">
        <v>1294</v>
      </c>
    </row>
    <row r="616" spans="1:10" x14ac:dyDescent="0.35">
      <c r="A616" s="1">
        <v>45139</v>
      </c>
      <c r="B616" t="s">
        <v>14</v>
      </c>
      <c r="C616" t="s">
        <v>11</v>
      </c>
      <c r="D616">
        <v>9037</v>
      </c>
      <c r="E616">
        <v>4028</v>
      </c>
      <c r="F616">
        <v>3171</v>
      </c>
      <c r="G616">
        <v>52</v>
      </c>
      <c r="H616">
        <v>31</v>
      </c>
      <c r="I616">
        <v>95.79</v>
      </c>
      <c r="J616">
        <v>1030</v>
      </c>
    </row>
    <row r="617" spans="1:10" x14ac:dyDescent="0.35">
      <c r="A617" s="1">
        <v>45139</v>
      </c>
      <c r="B617" t="s">
        <v>14</v>
      </c>
      <c r="C617" t="s">
        <v>12</v>
      </c>
      <c r="D617">
        <v>7827</v>
      </c>
      <c r="E617">
        <v>5558</v>
      </c>
      <c r="F617">
        <v>2400</v>
      </c>
      <c r="G617">
        <v>65</v>
      </c>
      <c r="H617">
        <v>140</v>
      </c>
      <c r="I617">
        <v>105.73</v>
      </c>
      <c r="J617">
        <v>1788</v>
      </c>
    </row>
    <row r="618" spans="1:10" x14ac:dyDescent="0.35">
      <c r="A618" s="1">
        <v>45139</v>
      </c>
      <c r="B618" t="s">
        <v>15</v>
      </c>
      <c r="C618" t="s">
        <v>11</v>
      </c>
      <c r="D618">
        <v>3273</v>
      </c>
      <c r="E618">
        <v>1529</v>
      </c>
      <c r="F618">
        <v>1215</v>
      </c>
      <c r="G618">
        <v>15</v>
      </c>
      <c r="H618">
        <v>748</v>
      </c>
      <c r="I618">
        <v>49.28</v>
      </c>
      <c r="J618">
        <v>417</v>
      </c>
    </row>
    <row r="619" spans="1:10" x14ac:dyDescent="0.35">
      <c r="A619" s="1">
        <v>45139</v>
      </c>
      <c r="B619" t="s">
        <v>15</v>
      </c>
      <c r="C619" t="s">
        <v>12</v>
      </c>
      <c r="D619">
        <v>1808</v>
      </c>
      <c r="E619">
        <v>1146</v>
      </c>
      <c r="F619">
        <v>1043</v>
      </c>
      <c r="G619">
        <v>12</v>
      </c>
      <c r="H619">
        <v>678</v>
      </c>
      <c r="I619">
        <v>121.83</v>
      </c>
      <c r="J619">
        <v>347</v>
      </c>
    </row>
    <row r="620" spans="1:10" x14ac:dyDescent="0.35">
      <c r="A620" s="1">
        <v>45139</v>
      </c>
      <c r="B620" t="s">
        <v>16</v>
      </c>
      <c r="C620" t="s">
        <v>11</v>
      </c>
      <c r="D620">
        <v>6160</v>
      </c>
      <c r="E620">
        <v>5880</v>
      </c>
      <c r="F620">
        <v>3463</v>
      </c>
      <c r="G620">
        <v>46</v>
      </c>
      <c r="H620">
        <v>40</v>
      </c>
      <c r="I620">
        <v>119.07</v>
      </c>
      <c r="J620">
        <v>2334</v>
      </c>
    </row>
    <row r="621" spans="1:10" x14ac:dyDescent="0.35">
      <c r="A621" s="1">
        <v>45139</v>
      </c>
      <c r="B621" t="s">
        <v>16</v>
      </c>
      <c r="C621" t="s">
        <v>12</v>
      </c>
      <c r="D621">
        <v>4833</v>
      </c>
      <c r="E621">
        <v>4563</v>
      </c>
      <c r="F621">
        <v>2608</v>
      </c>
      <c r="G621">
        <v>32</v>
      </c>
      <c r="H621">
        <v>36</v>
      </c>
      <c r="I621">
        <v>135.71</v>
      </c>
      <c r="J621">
        <v>1175</v>
      </c>
    </row>
    <row r="622" spans="1:10" x14ac:dyDescent="0.35">
      <c r="A622" s="1">
        <v>45140</v>
      </c>
      <c r="B622" t="s">
        <v>10</v>
      </c>
      <c r="C622" t="s">
        <v>11</v>
      </c>
      <c r="D622">
        <v>5681</v>
      </c>
      <c r="E622">
        <v>4768</v>
      </c>
      <c r="F622">
        <v>3181</v>
      </c>
      <c r="G622">
        <v>68</v>
      </c>
      <c r="H622">
        <v>35</v>
      </c>
      <c r="I622">
        <v>122.63</v>
      </c>
      <c r="J622">
        <v>1040</v>
      </c>
    </row>
    <row r="623" spans="1:10" x14ac:dyDescent="0.35">
      <c r="A623" s="1">
        <v>45140</v>
      </c>
      <c r="B623" t="s">
        <v>10</v>
      </c>
      <c r="C623" t="s">
        <v>12</v>
      </c>
      <c r="D623">
        <v>3715</v>
      </c>
      <c r="E623">
        <v>2358</v>
      </c>
      <c r="F623">
        <v>1693</v>
      </c>
      <c r="G623">
        <v>23</v>
      </c>
      <c r="H623">
        <v>130</v>
      </c>
      <c r="I623">
        <v>36.950000000000003</v>
      </c>
      <c r="J623">
        <v>1267</v>
      </c>
    </row>
    <row r="624" spans="1:10" x14ac:dyDescent="0.35">
      <c r="A624" s="1">
        <v>45140</v>
      </c>
      <c r="B624" t="s">
        <v>13</v>
      </c>
      <c r="C624" t="s">
        <v>11</v>
      </c>
      <c r="D624">
        <v>11743</v>
      </c>
      <c r="E624">
        <v>8991</v>
      </c>
      <c r="F624">
        <v>5052</v>
      </c>
      <c r="G624">
        <v>105</v>
      </c>
      <c r="H624">
        <v>140</v>
      </c>
      <c r="I624">
        <v>73.650000000000006</v>
      </c>
      <c r="J624">
        <v>1806</v>
      </c>
    </row>
    <row r="625" spans="1:10" x14ac:dyDescent="0.35">
      <c r="A625" s="1">
        <v>45140</v>
      </c>
      <c r="B625" t="s">
        <v>13</v>
      </c>
      <c r="C625" t="s">
        <v>12</v>
      </c>
      <c r="D625">
        <v>6940</v>
      </c>
      <c r="E625">
        <v>5318</v>
      </c>
      <c r="F625">
        <v>3308</v>
      </c>
      <c r="G625">
        <v>70</v>
      </c>
      <c r="H625">
        <v>130</v>
      </c>
      <c r="I625">
        <v>123.22</v>
      </c>
      <c r="J625">
        <v>2390</v>
      </c>
    </row>
    <row r="626" spans="1:10" x14ac:dyDescent="0.35">
      <c r="A626" s="1">
        <v>45140</v>
      </c>
      <c r="B626" t="s">
        <v>14</v>
      </c>
      <c r="C626" t="s">
        <v>11</v>
      </c>
      <c r="D626">
        <v>11970</v>
      </c>
      <c r="E626">
        <v>7643</v>
      </c>
      <c r="F626">
        <v>4345</v>
      </c>
      <c r="G626">
        <v>89</v>
      </c>
      <c r="H626">
        <v>32</v>
      </c>
      <c r="I626">
        <v>93.05</v>
      </c>
      <c r="J626">
        <v>2755</v>
      </c>
    </row>
    <row r="627" spans="1:10" x14ac:dyDescent="0.35">
      <c r="A627" s="1">
        <v>45140</v>
      </c>
      <c r="B627" t="s">
        <v>14</v>
      </c>
      <c r="C627" t="s">
        <v>12</v>
      </c>
      <c r="D627">
        <v>7497</v>
      </c>
      <c r="E627">
        <v>4843</v>
      </c>
      <c r="F627">
        <v>3812</v>
      </c>
      <c r="G627">
        <v>39</v>
      </c>
      <c r="H627">
        <v>76</v>
      </c>
      <c r="I627">
        <v>99.67</v>
      </c>
      <c r="J627">
        <v>2117</v>
      </c>
    </row>
    <row r="628" spans="1:10" x14ac:dyDescent="0.35">
      <c r="A628" s="1">
        <v>45140</v>
      </c>
      <c r="B628" t="s">
        <v>15</v>
      </c>
      <c r="C628" t="s">
        <v>11</v>
      </c>
      <c r="D628">
        <v>5670</v>
      </c>
      <c r="E628">
        <v>3159</v>
      </c>
      <c r="F628">
        <v>3252</v>
      </c>
      <c r="G628">
        <v>27</v>
      </c>
      <c r="H628">
        <v>74</v>
      </c>
      <c r="I628">
        <v>67.64</v>
      </c>
      <c r="J628">
        <v>1065</v>
      </c>
    </row>
    <row r="629" spans="1:10" x14ac:dyDescent="0.35">
      <c r="A629" s="1">
        <v>45140</v>
      </c>
      <c r="B629" t="s">
        <v>15</v>
      </c>
      <c r="C629" t="s">
        <v>12</v>
      </c>
      <c r="D629">
        <v>2698</v>
      </c>
      <c r="E629">
        <v>1611</v>
      </c>
      <c r="F629">
        <v>1404</v>
      </c>
      <c r="G629">
        <v>13</v>
      </c>
      <c r="H629">
        <v>767</v>
      </c>
      <c r="I629">
        <v>36.22</v>
      </c>
      <c r="J629">
        <v>436</v>
      </c>
    </row>
    <row r="630" spans="1:10" x14ac:dyDescent="0.35">
      <c r="A630" s="1">
        <v>45140</v>
      </c>
      <c r="B630" t="s">
        <v>16</v>
      </c>
      <c r="C630" t="s">
        <v>11</v>
      </c>
      <c r="D630">
        <v>7831</v>
      </c>
      <c r="E630">
        <v>4538</v>
      </c>
      <c r="F630">
        <v>3819</v>
      </c>
      <c r="G630">
        <v>27</v>
      </c>
      <c r="H630">
        <v>40</v>
      </c>
      <c r="I630">
        <v>56.85</v>
      </c>
      <c r="J630">
        <v>2092</v>
      </c>
    </row>
    <row r="631" spans="1:10" x14ac:dyDescent="0.35">
      <c r="A631" s="1">
        <v>45140</v>
      </c>
      <c r="B631" t="s">
        <v>16</v>
      </c>
      <c r="C631" t="s">
        <v>12</v>
      </c>
      <c r="D631">
        <v>2819</v>
      </c>
      <c r="E631">
        <v>1075</v>
      </c>
      <c r="F631">
        <v>1574</v>
      </c>
      <c r="G631">
        <v>39</v>
      </c>
      <c r="H631">
        <v>130</v>
      </c>
      <c r="I631">
        <v>118.45</v>
      </c>
      <c r="J631">
        <v>881</v>
      </c>
    </row>
    <row r="632" spans="1:10" x14ac:dyDescent="0.35">
      <c r="A632" s="1">
        <v>45141</v>
      </c>
      <c r="B632" t="s">
        <v>10</v>
      </c>
      <c r="C632" t="s">
        <v>11</v>
      </c>
      <c r="D632">
        <v>17307</v>
      </c>
      <c r="E632">
        <v>9507</v>
      </c>
      <c r="F632">
        <v>9933</v>
      </c>
      <c r="G632">
        <v>131</v>
      </c>
      <c r="H632">
        <v>78</v>
      </c>
      <c r="I632">
        <v>47.78</v>
      </c>
      <c r="J632">
        <v>5537</v>
      </c>
    </row>
    <row r="633" spans="1:10" x14ac:dyDescent="0.35">
      <c r="A633" s="1">
        <v>45141</v>
      </c>
      <c r="B633" t="s">
        <v>10</v>
      </c>
      <c r="C633" t="s">
        <v>12</v>
      </c>
      <c r="D633">
        <v>3877</v>
      </c>
      <c r="E633">
        <v>2004</v>
      </c>
      <c r="F633">
        <v>1854</v>
      </c>
      <c r="G633">
        <v>20</v>
      </c>
      <c r="H633">
        <v>118</v>
      </c>
      <c r="I633">
        <v>28.46</v>
      </c>
      <c r="J633">
        <v>1048</v>
      </c>
    </row>
    <row r="634" spans="1:10" x14ac:dyDescent="0.35">
      <c r="A634" s="1">
        <v>45141</v>
      </c>
      <c r="B634" t="s">
        <v>13</v>
      </c>
      <c r="C634" t="s">
        <v>11</v>
      </c>
      <c r="D634">
        <v>4559</v>
      </c>
      <c r="E634">
        <v>3467</v>
      </c>
      <c r="F634">
        <v>2345</v>
      </c>
      <c r="G634">
        <v>48</v>
      </c>
      <c r="H634">
        <v>124</v>
      </c>
      <c r="I634">
        <v>148.96</v>
      </c>
      <c r="J634">
        <v>1315</v>
      </c>
    </row>
    <row r="635" spans="1:10" x14ac:dyDescent="0.35">
      <c r="A635" s="1">
        <v>45141</v>
      </c>
      <c r="B635" t="s">
        <v>13</v>
      </c>
      <c r="C635" t="s">
        <v>12</v>
      </c>
      <c r="D635">
        <v>7740</v>
      </c>
      <c r="E635">
        <v>4017</v>
      </c>
      <c r="F635">
        <v>3039</v>
      </c>
      <c r="G635">
        <v>60</v>
      </c>
      <c r="H635">
        <v>97</v>
      </c>
      <c r="I635">
        <v>40.369999999999997</v>
      </c>
      <c r="J635">
        <v>1313</v>
      </c>
    </row>
    <row r="636" spans="1:10" x14ac:dyDescent="0.35">
      <c r="A636" s="1">
        <v>45141</v>
      </c>
      <c r="B636" t="s">
        <v>14</v>
      </c>
      <c r="C636" t="s">
        <v>11</v>
      </c>
      <c r="D636">
        <v>7792</v>
      </c>
      <c r="E636">
        <v>5836</v>
      </c>
      <c r="F636">
        <v>4226</v>
      </c>
      <c r="G636">
        <v>74</v>
      </c>
      <c r="H636">
        <v>43</v>
      </c>
      <c r="I636">
        <v>179.5</v>
      </c>
      <c r="J636">
        <v>2952</v>
      </c>
    </row>
    <row r="637" spans="1:10" x14ac:dyDescent="0.35">
      <c r="A637" s="1">
        <v>45141</v>
      </c>
      <c r="B637" t="s">
        <v>14</v>
      </c>
      <c r="C637" t="s">
        <v>12</v>
      </c>
      <c r="D637">
        <v>6581</v>
      </c>
      <c r="E637">
        <v>2940</v>
      </c>
      <c r="F637">
        <v>2071</v>
      </c>
      <c r="G637">
        <v>45</v>
      </c>
      <c r="H637">
        <v>86</v>
      </c>
      <c r="I637">
        <v>15.15</v>
      </c>
      <c r="J637">
        <v>837</v>
      </c>
    </row>
    <row r="638" spans="1:10" x14ac:dyDescent="0.35">
      <c r="A638" s="1">
        <v>45141</v>
      </c>
      <c r="B638" t="s">
        <v>15</v>
      </c>
      <c r="C638" t="s">
        <v>11</v>
      </c>
      <c r="D638">
        <v>4717</v>
      </c>
      <c r="E638">
        <v>1601</v>
      </c>
      <c r="F638">
        <v>2123</v>
      </c>
      <c r="G638">
        <v>24</v>
      </c>
      <c r="H638">
        <v>52</v>
      </c>
      <c r="I638">
        <v>140.4</v>
      </c>
      <c r="J638">
        <v>1281</v>
      </c>
    </row>
    <row r="639" spans="1:10" x14ac:dyDescent="0.35">
      <c r="A639" s="1">
        <v>45141</v>
      </c>
      <c r="B639" t="s">
        <v>15</v>
      </c>
      <c r="C639" t="s">
        <v>12</v>
      </c>
      <c r="D639">
        <v>3279</v>
      </c>
      <c r="E639">
        <v>2393</v>
      </c>
      <c r="F639">
        <v>1594</v>
      </c>
      <c r="G639">
        <v>38</v>
      </c>
      <c r="H639">
        <v>51</v>
      </c>
      <c r="I639">
        <v>65.06</v>
      </c>
      <c r="J639">
        <v>1055</v>
      </c>
    </row>
    <row r="640" spans="1:10" x14ac:dyDescent="0.35">
      <c r="A640" s="1">
        <v>45141</v>
      </c>
      <c r="B640" t="s">
        <v>16</v>
      </c>
      <c r="C640" t="s">
        <v>11</v>
      </c>
      <c r="D640">
        <v>3107</v>
      </c>
      <c r="E640">
        <v>2728</v>
      </c>
      <c r="F640">
        <v>1074</v>
      </c>
      <c r="G640">
        <v>18</v>
      </c>
      <c r="H640">
        <v>812</v>
      </c>
      <c r="I640">
        <v>174.26</v>
      </c>
      <c r="J640">
        <v>481</v>
      </c>
    </row>
    <row r="641" spans="1:10" x14ac:dyDescent="0.35">
      <c r="A641" s="1">
        <v>45141</v>
      </c>
      <c r="B641" t="s">
        <v>16</v>
      </c>
      <c r="C641" t="s">
        <v>12</v>
      </c>
      <c r="D641">
        <v>7578</v>
      </c>
      <c r="E641">
        <v>4956</v>
      </c>
      <c r="F641">
        <v>3420</v>
      </c>
      <c r="G641">
        <v>37</v>
      </c>
      <c r="H641">
        <v>38</v>
      </c>
      <c r="I641">
        <v>66.69</v>
      </c>
      <c r="J641">
        <v>1506</v>
      </c>
    </row>
    <row r="642" spans="1:10" x14ac:dyDescent="0.35">
      <c r="A642" s="1">
        <v>45142</v>
      </c>
      <c r="B642" t="s">
        <v>10</v>
      </c>
      <c r="C642" t="s">
        <v>11</v>
      </c>
      <c r="D642">
        <v>12164</v>
      </c>
      <c r="E642">
        <v>4953</v>
      </c>
      <c r="F642">
        <v>4631</v>
      </c>
      <c r="G642">
        <v>48</v>
      </c>
      <c r="H642">
        <v>57</v>
      </c>
      <c r="I642">
        <v>151.16</v>
      </c>
      <c r="J642">
        <v>1803</v>
      </c>
    </row>
    <row r="643" spans="1:10" x14ac:dyDescent="0.35">
      <c r="A643" s="1">
        <v>45142</v>
      </c>
      <c r="B643" t="s">
        <v>10</v>
      </c>
      <c r="C643" t="s">
        <v>12</v>
      </c>
      <c r="D643">
        <v>9767</v>
      </c>
      <c r="E643">
        <v>7627</v>
      </c>
      <c r="F643">
        <v>5409</v>
      </c>
      <c r="G643">
        <v>118</v>
      </c>
      <c r="H643">
        <v>64</v>
      </c>
      <c r="I643">
        <v>19.22</v>
      </c>
      <c r="J643">
        <v>2068</v>
      </c>
    </row>
    <row r="644" spans="1:10" x14ac:dyDescent="0.35">
      <c r="A644" s="1">
        <v>45142</v>
      </c>
      <c r="B644" t="s">
        <v>13</v>
      </c>
      <c r="C644" t="s">
        <v>11</v>
      </c>
      <c r="D644">
        <v>9326</v>
      </c>
      <c r="E644">
        <v>2658</v>
      </c>
      <c r="F644">
        <v>3103</v>
      </c>
      <c r="G644">
        <v>28</v>
      </c>
      <c r="H644">
        <v>109</v>
      </c>
      <c r="I644">
        <v>159.46</v>
      </c>
      <c r="J644">
        <v>1278</v>
      </c>
    </row>
    <row r="645" spans="1:10" x14ac:dyDescent="0.35">
      <c r="A645" s="1">
        <v>45142</v>
      </c>
      <c r="B645" t="s">
        <v>13</v>
      </c>
      <c r="C645" t="s">
        <v>12</v>
      </c>
      <c r="D645">
        <v>6786</v>
      </c>
      <c r="E645">
        <v>6154</v>
      </c>
      <c r="F645">
        <v>3634</v>
      </c>
      <c r="G645">
        <v>93</v>
      </c>
      <c r="H645">
        <v>126</v>
      </c>
      <c r="I645">
        <v>155.80000000000001</v>
      </c>
      <c r="J645">
        <v>1538</v>
      </c>
    </row>
    <row r="646" spans="1:10" x14ac:dyDescent="0.35">
      <c r="A646" s="1">
        <v>45142</v>
      </c>
      <c r="B646" t="s">
        <v>14</v>
      </c>
      <c r="C646" t="s">
        <v>11</v>
      </c>
      <c r="D646">
        <v>4918</v>
      </c>
      <c r="E646">
        <v>2354</v>
      </c>
      <c r="F646">
        <v>2428</v>
      </c>
      <c r="G646">
        <v>25</v>
      </c>
      <c r="H646">
        <v>36</v>
      </c>
      <c r="I646">
        <v>147.4</v>
      </c>
      <c r="J646">
        <v>1286</v>
      </c>
    </row>
    <row r="647" spans="1:10" x14ac:dyDescent="0.35">
      <c r="A647" s="1">
        <v>45142</v>
      </c>
      <c r="B647" t="s">
        <v>14</v>
      </c>
      <c r="C647" t="s">
        <v>12</v>
      </c>
      <c r="D647">
        <v>5752</v>
      </c>
      <c r="E647">
        <v>1402</v>
      </c>
      <c r="F647">
        <v>1871</v>
      </c>
      <c r="G647">
        <v>14</v>
      </c>
      <c r="H647">
        <v>33</v>
      </c>
      <c r="I647">
        <v>148.97</v>
      </c>
      <c r="J647">
        <v>1136</v>
      </c>
    </row>
    <row r="648" spans="1:10" x14ac:dyDescent="0.35">
      <c r="A648" s="1">
        <v>45142</v>
      </c>
      <c r="B648" t="s">
        <v>15</v>
      </c>
      <c r="C648" t="s">
        <v>11</v>
      </c>
      <c r="D648">
        <v>4501</v>
      </c>
      <c r="E648">
        <v>2018</v>
      </c>
      <c r="F648">
        <v>2435</v>
      </c>
      <c r="G648">
        <v>29</v>
      </c>
      <c r="H648">
        <v>90</v>
      </c>
      <c r="I648">
        <v>126.82</v>
      </c>
      <c r="J648">
        <v>1811</v>
      </c>
    </row>
    <row r="649" spans="1:10" x14ac:dyDescent="0.35">
      <c r="A649" s="1">
        <v>45142</v>
      </c>
      <c r="B649" t="s">
        <v>15</v>
      </c>
      <c r="C649" t="s">
        <v>12</v>
      </c>
      <c r="D649">
        <v>3599</v>
      </c>
      <c r="E649">
        <v>2483</v>
      </c>
      <c r="F649">
        <v>1411</v>
      </c>
      <c r="G649">
        <v>31</v>
      </c>
      <c r="H649">
        <v>66</v>
      </c>
      <c r="I649">
        <v>29.55</v>
      </c>
      <c r="J649">
        <v>969</v>
      </c>
    </row>
    <row r="650" spans="1:10" x14ac:dyDescent="0.35">
      <c r="A650" s="1">
        <v>45142</v>
      </c>
      <c r="B650" t="s">
        <v>16</v>
      </c>
      <c r="C650" t="s">
        <v>11</v>
      </c>
      <c r="D650">
        <v>4895</v>
      </c>
      <c r="E650">
        <v>1768</v>
      </c>
      <c r="F650">
        <v>2274</v>
      </c>
      <c r="G650">
        <v>26</v>
      </c>
      <c r="H650">
        <v>34</v>
      </c>
      <c r="I650">
        <v>114.71</v>
      </c>
      <c r="J650">
        <v>876</v>
      </c>
    </row>
    <row r="651" spans="1:10" x14ac:dyDescent="0.35">
      <c r="A651" s="1">
        <v>45142</v>
      </c>
      <c r="B651" t="s">
        <v>16</v>
      </c>
      <c r="C651" t="s">
        <v>12</v>
      </c>
      <c r="D651">
        <v>6801</v>
      </c>
      <c r="E651">
        <v>5515</v>
      </c>
      <c r="F651">
        <v>3943</v>
      </c>
      <c r="G651">
        <v>91</v>
      </c>
      <c r="H651">
        <v>30</v>
      </c>
      <c r="I651">
        <v>125.72</v>
      </c>
      <c r="J651">
        <v>2840</v>
      </c>
    </row>
    <row r="652" spans="1:10" x14ac:dyDescent="0.35">
      <c r="A652" s="1">
        <v>45143</v>
      </c>
      <c r="B652" t="s">
        <v>10</v>
      </c>
      <c r="C652" t="s">
        <v>11</v>
      </c>
      <c r="D652">
        <v>14864</v>
      </c>
      <c r="E652">
        <v>13436</v>
      </c>
      <c r="F652">
        <v>5816</v>
      </c>
      <c r="G652">
        <v>89</v>
      </c>
      <c r="H652">
        <v>55</v>
      </c>
      <c r="I652">
        <v>68.81</v>
      </c>
      <c r="J652">
        <v>2109</v>
      </c>
    </row>
    <row r="653" spans="1:10" x14ac:dyDescent="0.35">
      <c r="A653" s="1">
        <v>45143</v>
      </c>
      <c r="B653" t="s">
        <v>10</v>
      </c>
      <c r="C653" t="s">
        <v>12</v>
      </c>
      <c r="D653">
        <v>4890</v>
      </c>
      <c r="E653">
        <v>4558</v>
      </c>
      <c r="F653">
        <v>2393</v>
      </c>
      <c r="G653">
        <v>59</v>
      </c>
      <c r="H653">
        <v>88</v>
      </c>
      <c r="I653">
        <v>157.47</v>
      </c>
      <c r="J653">
        <v>1009</v>
      </c>
    </row>
    <row r="654" spans="1:10" x14ac:dyDescent="0.35">
      <c r="A654" s="1">
        <v>45143</v>
      </c>
      <c r="B654" t="s">
        <v>13</v>
      </c>
      <c r="C654" t="s">
        <v>11</v>
      </c>
      <c r="D654">
        <v>7820</v>
      </c>
      <c r="E654">
        <v>6242</v>
      </c>
      <c r="F654">
        <v>2673</v>
      </c>
      <c r="G654">
        <v>60</v>
      </c>
      <c r="H654">
        <v>60</v>
      </c>
      <c r="I654">
        <v>24.27</v>
      </c>
      <c r="J654">
        <v>815</v>
      </c>
    </row>
    <row r="655" spans="1:10" x14ac:dyDescent="0.35">
      <c r="A655" s="1">
        <v>45143</v>
      </c>
      <c r="B655" t="s">
        <v>13</v>
      </c>
      <c r="C655" t="s">
        <v>12</v>
      </c>
      <c r="D655">
        <v>3670</v>
      </c>
      <c r="E655">
        <v>1824</v>
      </c>
      <c r="F655">
        <v>1674</v>
      </c>
      <c r="G655">
        <v>16</v>
      </c>
      <c r="H655">
        <v>116</v>
      </c>
      <c r="I655">
        <v>98.78</v>
      </c>
      <c r="J655">
        <v>834</v>
      </c>
    </row>
    <row r="656" spans="1:10" x14ac:dyDescent="0.35">
      <c r="A656" s="1">
        <v>45143</v>
      </c>
      <c r="B656" t="s">
        <v>14</v>
      </c>
      <c r="C656" t="s">
        <v>11</v>
      </c>
      <c r="D656">
        <v>5787</v>
      </c>
      <c r="E656">
        <v>1652</v>
      </c>
      <c r="F656">
        <v>2559</v>
      </c>
      <c r="G656">
        <v>16</v>
      </c>
      <c r="H656">
        <v>116</v>
      </c>
      <c r="I656">
        <v>83.5</v>
      </c>
      <c r="J656">
        <v>1287</v>
      </c>
    </row>
    <row r="657" spans="1:10" x14ac:dyDescent="0.35">
      <c r="A657" s="1">
        <v>45143</v>
      </c>
      <c r="B657" t="s">
        <v>14</v>
      </c>
      <c r="C657" t="s">
        <v>12</v>
      </c>
      <c r="D657">
        <v>3058</v>
      </c>
      <c r="E657">
        <v>1638</v>
      </c>
      <c r="F657">
        <v>1738</v>
      </c>
      <c r="G657">
        <v>24</v>
      </c>
      <c r="H657">
        <v>30</v>
      </c>
      <c r="I657">
        <v>60.68</v>
      </c>
      <c r="J657">
        <v>1189</v>
      </c>
    </row>
    <row r="658" spans="1:10" x14ac:dyDescent="0.35">
      <c r="A658" s="1">
        <v>45143</v>
      </c>
      <c r="B658" t="s">
        <v>15</v>
      </c>
      <c r="C658" t="s">
        <v>11</v>
      </c>
      <c r="D658">
        <v>2265</v>
      </c>
      <c r="E658">
        <v>1770</v>
      </c>
      <c r="F658">
        <v>2110</v>
      </c>
      <c r="G658">
        <v>19</v>
      </c>
      <c r="H658">
        <v>127</v>
      </c>
      <c r="I658">
        <v>57.83</v>
      </c>
      <c r="J658">
        <v>510</v>
      </c>
    </row>
    <row r="659" spans="1:10" x14ac:dyDescent="0.35">
      <c r="A659" s="1">
        <v>45143</v>
      </c>
      <c r="B659" t="s">
        <v>15</v>
      </c>
      <c r="C659" t="s">
        <v>12</v>
      </c>
      <c r="D659">
        <v>3957</v>
      </c>
      <c r="E659">
        <v>1932</v>
      </c>
      <c r="F659">
        <v>1429</v>
      </c>
      <c r="G659">
        <v>11</v>
      </c>
      <c r="H659">
        <v>73</v>
      </c>
      <c r="I659">
        <v>106.38</v>
      </c>
      <c r="J659">
        <v>698</v>
      </c>
    </row>
    <row r="660" spans="1:10" x14ac:dyDescent="0.35">
      <c r="A660" s="1">
        <v>45143</v>
      </c>
      <c r="B660" t="s">
        <v>16</v>
      </c>
      <c r="C660" t="s">
        <v>11</v>
      </c>
      <c r="D660">
        <v>7505</v>
      </c>
      <c r="E660">
        <v>6361</v>
      </c>
      <c r="F660">
        <v>2629</v>
      </c>
      <c r="G660">
        <v>87</v>
      </c>
      <c r="H660">
        <v>70</v>
      </c>
      <c r="I660">
        <v>134.26</v>
      </c>
      <c r="J660">
        <v>931</v>
      </c>
    </row>
    <row r="661" spans="1:10" x14ac:dyDescent="0.35">
      <c r="A661" s="1">
        <v>45143</v>
      </c>
      <c r="B661" t="s">
        <v>16</v>
      </c>
      <c r="C661" t="s">
        <v>12</v>
      </c>
      <c r="D661">
        <v>7273</v>
      </c>
      <c r="E661">
        <v>4000</v>
      </c>
      <c r="F661">
        <v>3300</v>
      </c>
      <c r="G661">
        <v>26</v>
      </c>
      <c r="H661">
        <v>52</v>
      </c>
      <c r="I661">
        <v>132.32</v>
      </c>
      <c r="J661">
        <v>1508</v>
      </c>
    </row>
    <row r="662" spans="1:10" x14ac:dyDescent="0.35">
      <c r="A662" s="1">
        <v>45144</v>
      </c>
      <c r="B662" t="s">
        <v>10</v>
      </c>
      <c r="C662" t="s">
        <v>11</v>
      </c>
      <c r="D662">
        <v>13811</v>
      </c>
      <c r="E662">
        <v>4414</v>
      </c>
      <c r="F662">
        <v>8263</v>
      </c>
      <c r="G662">
        <v>24</v>
      </c>
      <c r="H662">
        <v>83</v>
      </c>
      <c r="I662">
        <v>60.29</v>
      </c>
      <c r="J662">
        <v>3344</v>
      </c>
    </row>
    <row r="663" spans="1:10" x14ac:dyDescent="0.35">
      <c r="A663" s="1">
        <v>45144</v>
      </c>
      <c r="B663" t="s">
        <v>10</v>
      </c>
      <c r="C663" t="s">
        <v>12</v>
      </c>
      <c r="D663">
        <v>11976</v>
      </c>
      <c r="E663">
        <v>6252</v>
      </c>
      <c r="F663">
        <v>4819</v>
      </c>
      <c r="G663">
        <v>90</v>
      </c>
      <c r="H663">
        <v>107</v>
      </c>
      <c r="I663">
        <v>142.58000000000001</v>
      </c>
      <c r="J663">
        <v>2409</v>
      </c>
    </row>
    <row r="664" spans="1:10" x14ac:dyDescent="0.35">
      <c r="A664" s="1">
        <v>45144</v>
      </c>
      <c r="B664" t="s">
        <v>13</v>
      </c>
      <c r="C664" t="s">
        <v>11</v>
      </c>
      <c r="D664">
        <v>9867</v>
      </c>
      <c r="E664">
        <v>2438</v>
      </c>
      <c r="F664">
        <v>4324</v>
      </c>
      <c r="G664">
        <v>34</v>
      </c>
      <c r="H664">
        <v>123</v>
      </c>
      <c r="I664">
        <v>107.8</v>
      </c>
      <c r="J664">
        <v>3221</v>
      </c>
    </row>
    <row r="665" spans="1:10" x14ac:dyDescent="0.35">
      <c r="A665" s="1">
        <v>45144</v>
      </c>
      <c r="B665" t="s">
        <v>13</v>
      </c>
      <c r="C665" t="s">
        <v>12</v>
      </c>
      <c r="D665">
        <v>7967</v>
      </c>
      <c r="E665">
        <v>3338</v>
      </c>
      <c r="F665">
        <v>4761</v>
      </c>
      <c r="G665">
        <v>38</v>
      </c>
      <c r="H665">
        <v>35</v>
      </c>
      <c r="I665">
        <v>156.69999999999999</v>
      </c>
      <c r="J665">
        <v>3266</v>
      </c>
    </row>
    <row r="666" spans="1:10" x14ac:dyDescent="0.35">
      <c r="A666" s="1">
        <v>45144</v>
      </c>
      <c r="B666" t="s">
        <v>14</v>
      </c>
      <c r="C666" t="s">
        <v>11</v>
      </c>
      <c r="D666">
        <v>11245</v>
      </c>
      <c r="E666">
        <v>5965</v>
      </c>
      <c r="F666">
        <v>6136</v>
      </c>
      <c r="G666">
        <v>46</v>
      </c>
      <c r="H666">
        <v>51</v>
      </c>
      <c r="I666">
        <v>65.790000000000006</v>
      </c>
      <c r="J666">
        <v>2772</v>
      </c>
    </row>
    <row r="667" spans="1:10" x14ac:dyDescent="0.35">
      <c r="A667" s="1">
        <v>45144</v>
      </c>
      <c r="B667" t="s">
        <v>14</v>
      </c>
      <c r="C667" t="s">
        <v>12</v>
      </c>
      <c r="D667">
        <v>2096</v>
      </c>
      <c r="E667">
        <v>709</v>
      </c>
      <c r="F667">
        <v>1958</v>
      </c>
      <c r="G667">
        <v>41</v>
      </c>
      <c r="H667">
        <v>698</v>
      </c>
      <c r="I667">
        <v>83.87</v>
      </c>
      <c r="J667">
        <v>367</v>
      </c>
    </row>
    <row r="668" spans="1:10" x14ac:dyDescent="0.35">
      <c r="A668" s="1">
        <v>45144</v>
      </c>
      <c r="B668" t="s">
        <v>15</v>
      </c>
      <c r="C668" t="s">
        <v>11</v>
      </c>
      <c r="D668">
        <v>3429</v>
      </c>
      <c r="E668">
        <v>1905</v>
      </c>
      <c r="F668">
        <v>1860</v>
      </c>
      <c r="G668">
        <v>31</v>
      </c>
      <c r="H668">
        <v>78</v>
      </c>
      <c r="I668">
        <v>70.989999999999995</v>
      </c>
      <c r="J668">
        <v>1175</v>
      </c>
    </row>
    <row r="669" spans="1:10" x14ac:dyDescent="0.35">
      <c r="A669" s="1">
        <v>45144</v>
      </c>
      <c r="B669" t="s">
        <v>15</v>
      </c>
      <c r="C669" t="s">
        <v>12</v>
      </c>
      <c r="D669">
        <v>3128</v>
      </c>
      <c r="E669">
        <v>1421</v>
      </c>
      <c r="F669">
        <v>1239</v>
      </c>
      <c r="G669">
        <v>12</v>
      </c>
      <c r="H669">
        <v>794</v>
      </c>
      <c r="I669">
        <v>133.46</v>
      </c>
      <c r="J669">
        <v>463</v>
      </c>
    </row>
    <row r="670" spans="1:10" x14ac:dyDescent="0.35">
      <c r="A670" s="1">
        <v>45144</v>
      </c>
      <c r="B670" t="s">
        <v>16</v>
      </c>
      <c r="C670" t="s">
        <v>11</v>
      </c>
      <c r="D670">
        <v>4146</v>
      </c>
      <c r="E670">
        <v>1364</v>
      </c>
      <c r="F670">
        <v>2375</v>
      </c>
      <c r="G670">
        <v>41</v>
      </c>
      <c r="H670">
        <v>36</v>
      </c>
      <c r="I670">
        <v>27.85</v>
      </c>
      <c r="J670">
        <v>916</v>
      </c>
    </row>
    <row r="671" spans="1:10" x14ac:dyDescent="0.35">
      <c r="A671" s="1">
        <v>45144</v>
      </c>
      <c r="B671" t="s">
        <v>16</v>
      </c>
      <c r="C671" t="s">
        <v>12</v>
      </c>
      <c r="D671">
        <v>2071</v>
      </c>
      <c r="E671">
        <v>1208</v>
      </c>
      <c r="F671">
        <v>1921</v>
      </c>
      <c r="G671">
        <v>16</v>
      </c>
      <c r="H671">
        <v>683</v>
      </c>
      <c r="I671">
        <v>99.44</v>
      </c>
      <c r="J671">
        <v>352</v>
      </c>
    </row>
    <row r="672" spans="1:10" x14ac:dyDescent="0.35">
      <c r="A672" s="1">
        <v>45145</v>
      </c>
      <c r="B672" t="s">
        <v>10</v>
      </c>
      <c r="C672" t="s">
        <v>11</v>
      </c>
      <c r="D672">
        <v>15617</v>
      </c>
      <c r="E672">
        <v>13152</v>
      </c>
      <c r="F672">
        <v>4752</v>
      </c>
      <c r="G672">
        <v>143</v>
      </c>
      <c r="H672">
        <v>50</v>
      </c>
      <c r="I672">
        <v>61.89</v>
      </c>
      <c r="J672">
        <v>3143</v>
      </c>
    </row>
    <row r="673" spans="1:10" x14ac:dyDescent="0.35">
      <c r="A673" s="1">
        <v>45145</v>
      </c>
      <c r="B673" t="s">
        <v>10</v>
      </c>
      <c r="C673" t="s">
        <v>12</v>
      </c>
      <c r="D673">
        <v>6580</v>
      </c>
      <c r="E673">
        <v>5740</v>
      </c>
      <c r="F673">
        <v>3463</v>
      </c>
      <c r="G673">
        <v>92</v>
      </c>
      <c r="H673">
        <v>61</v>
      </c>
      <c r="I673">
        <v>42.65</v>
      </c>
      <c r="J673">
        <v>1733</v>
      </c>
    </row>
    <row r="674" spans="1:10" x14ac:dyDescent="0.35">
      <c r="A674" s="1">
        <v>45145</v>
      </c>
      <c r="B674" t="s">
        <v>13</v>
      </c>
      <c r="C674" t="s">
        <v>11</v>
      </c>
      <c r="D674">
        <v>7990</v>
      </c>
      <c r="E674">
        <v>4490</v>
      </c>
      <c r="F674">
        <v>3966</v>
      </c>
      <c r="G674">
        <v>66</v>
      </c>
      <c r="H674">
        <v>41</v>
      </c>
      <c r="I674">
        <v>105.26</v>
      </c>
      <c r="J674">
        <v>1924</v>
      </c>
    </row>
    <row r="675" spans="1:10" x14ac:dyDescent="0.35">
      <c r="A675" s="1">
        <v>45145</v>
      </c>
      <c r="B675" t="s">
        <v>13</v>
      </c>
      <c r="C675" t="s">
        <v>12</v>
      </c>
      <c r="D675">
        <v>5765</v>
      </c>
      <c r="E675">
        <v>4676</v>
      </c>
      <c r="F675">
        <v>2051</v>
      </c>
      <c r="G675">
        <v>35</v>
      </c>
      <c r="H675">
        <v>35</v>
      </c>
      <c r="I675">
        <v>172.35</v>
      </c>
      <c r="J675">
        <v>1493</v>
      </c>
    </row>
    <row r="676" spans="1:10" x14ac:dyDescent="0.35">
      <c r="A676" s="1">
        <v>45145</v>
      </c>
      <c r="B676" t="s">
        <v>14</v>
      </c>
      <c r="C676" t="s">
        <v>11</v>
      </c>
      <c r="D676">
        <v>7162</v>
      </c>
      <c r="E676">
        <v>5507</v>
      </c>
      <c r="F676">
        <v>3981</v>
      </c>
      <c r="G676">
        <v>72</v>
      </c>
      <c r="H676">
        <v>137</v>
      </c>
      <c r="I676">
        <v>140.97999999999999</v>
      </c>
      <c r="J676">
        <v>1402</v>
      </c>
    </row>
    <row r="677" spans="1:10" x14ac:dyDescent="0.35">
      <c r="A677" s="1">
        <v>45145</v>
      </c>
      <c r="B677" t="s">
        <v>14</v>
      </c>
      <c r="C677" t="s">
        <v>12</v>
      </c>
      <c r="D677">
        <v>5110</v>
      </c>
      <c r="E677">
        <v>3096</v>
      </c>
      <c r="F677">
        <v>2266</v>
      </c>
      <c r="G677">
        <v>38</v>
      </c>
      <c r="H677">
        <v>66</v>
      </c>
      <c r="I677">
        <v>46.68</v>
      </c>
      <c r="J677">
        <v>1167</v>
      </c>
    </row>
    <row r="678" spans="1:10" x14ac:dyDescent="0.35">
      <c r="A678" s="1">
        <v>45145</v>
      </c>
      <c r="B678" t="s">
        <v>15</v>
      </c>
      <c r="C678" t="s">
        <v>11</v>
      </c>
      <c r="D678">
        <v>4121</v>
      </c>
      <c r="E678">
        <v>2325</v>
      </c>
      <c r="F678">
        <v>2158</v>
      </c>
      <c r="G678">
        <v>26</v>
      </c>
      <c r="H678">
        <v>85</v>
      </c>
      <c r="I678">
        <v>26.39</v>
      </c>
      <c r="J678">
        <v>1450</v>
      </c>
    </row>
    <row r="679" spans="1:10" x14ac:dyDescent="0.35">
      <c r="A679" s="1">
        <v>45145</v>
      </c>
      <c r="B679" t="s">
        <v>15</v>
      </c>
      <c r="C679" t="s">
        <v>12</v>
      </c>
      <c r="D679">
        <v>1729</v>
      </c>
      <c r="E679">
        <v>805</v>
      </c>
      <c r="F679">
        <v>1916</v>
      </c>
      <c r="G679">
        <v>10</v>
      </c>
      <c r="H679">
        <v>589</v>
      </c>
      <c r="I679">
        <v>106.07</v>
      </c>
      <c r="J679">
        <v>258</v>
      </c>
    </row>
    <row r="680" spans="1:10" x14ac:dyDescent="0.35">
      <c r="A680" s="1">
        <v>45145</v>
      </c>
      <c r="B680" t="s">
        <v>16</v>
      </c>
      <c r="C680" t="s">
        <v>11</v>
      </c>
      <c r="D680">
        <v>7259</v>
      </c>
      <c r="E680">
        <v>2433</v>
      </c>
      <c r="F680">
        <v>2695</v>
      </c>
      <c r="G680">
        <v>18</v>
      </c>
      <c r="H680">
        <v>93</v>
      </c>
      <c r="I680">
        <v>111.77</v>
      </c>
      <c r="J680">
        <v>1172</v>
      </c>
    </row>
    <row r="681" spans="1:10" x14ac:dyDescent="0.35">
      <c r="A681" s="1">
        <v>45145</v>
      </c>
      <c r="B681" t="s">
        <v>16</v>
      </c>
      <c r="C681" t="s">
        <v>12</v>
      </c>
      <c r="D681">
        <v>4470</v>
      </c>
      <c r="E681">
        <v>2239</v>
      </c>
      <c r="F681">
        <v>1615</v>
      </c>
      <c r="G681">
        <v>33</v>
      </c>
      <c r="H681">
        <v>92</v>
      </c>
      <c r="I681">
        <v>77.41</v>
      </c>
      <c r="J681">
        <v>825</v>
      </c>
    </row>
    <row r="682" spans="1:10" x14ac:dyDescent="0.35">
      <c r="A682" s="1">
        <v>45146</v>
      </c>
      <c r="B682" t="s">
        <v>10</v>
      </c>
      <c r="C682" t="s">
        <v>11</v>
      </c>
      <c r="D682">
        <v>10131</v>
      </c>
      <c r="E682">
        <v>8877</v>
      </c>
      <c r="F682">
        <v>5118</v>
      </c>
      <c r="G682">
        <v>80</v>
      </c>
      <c r="H682">
        <v>54</v>
      </c>
      <c r="I682">
        <v>24.2</v>
      </c>
      <c r="J682">
        <v>1594</v>
      </c>
    </row>
    <row r="683" spans="1:10" x14ac:dyDescent="0.35">
      <c r="A683" s="1">
        <v>45146</v>
      </c>
      <c r="B683" t="s">
        <v>10</v>
      </c>
      <c r="C683" t="s">
        <v>12</v>
      </c>
      <c r="D683">
        <v>10433</v>
      </c>
      <c r="E683">
        <v>5211</v>
      </c>
      <c r="F683">
        <v>3762</v>
      </c>
      <c r="G683">
        <v>31</v>
      </c>
      <c r="H683">
        <v>118</v>
      </c>
      <c r="I683">
        <v>29.81</v>
      </c>
      <c r="J683">
        <v>2052</v>
      </c>
    </row>
    <row r="684" spans="1:10" x14ac:dyDescent="0.35">
      <c r="A684" s="1">
        <v>45146</v>
      </c>
      <c r="B684" t="s">
        <v>13</v>
      </c>
      <c r="C684" t="s">
        <v>11</v>
      </c>
      <c r="D684">
        <v>9281</v>
      </c>
      <c r="E684">
        <v>7900</v>
      </c>
      <c r="F684">
        <v>3468</v>
      </c>
      <c r="G684">
        <v>76</v>
      </c>
      <c r="H684">
        <v>45</v>
      </c>
      <c r="I684">
        <v>41.68</v>
      </c>
      <c r="J684">
        <v>2308</v>
      </c>
    </row>
    <row r="685" spans="1:10" x14ac:dyDescent="0.35">
      <c r="A685" s="1">
        <v>45146</v>
      </c>
      <c r="B685" t="s">
        <v>13</v>
      </c>
      <c r="C685" t="s">
        <v>12</v>
      </c>
      <c r="D685">
        <v>6966</v>
      </c>
      <c r="E685">
        <v>3954</v>
      </c>
      <c r="F685">
        <v>1104</v>
      </c>
      <c r="G685">
        <v>26</v>
      </c>
      <c r="H685">
        <v>169</v>
      </c>
      <c r="I685">
        <v>103.2</v>
      </c>
      <c r="J685">
        <v>2551</v>
      </c>
    </row>
    <row r="686" spans="1:10" x14ac:dyDescent="0.35">
      <c r="A686" s="1">
        <v>45146</v>
      </c>
      <c r="B686" t="s">
        <v>14</v>
      </c>
      <c r="C686" t="s">
        <v>11</v>
      </c>
      <c r="D686">
        <v>4393</v>
      </c>
      <c r="E686">
        <v>3359</v>
      </c>
      <c r="F686">
        <v>2108</v>
      </c>
      <c r="G686">
        <v>29</v>
      </c>
      <c r="H686">
        <v>31</v>
      </c>
      <c r="I686">
        <v>70.91</v>
      </c>
      <c r="J686">
        <v>823</v>
      </c>
    </row>
    <row r="687" spans="1:10" x14ac:dyDescent="0.35">
      <c r="A687" s="1">
        <v>45146</v>
      </c>
      <c r="B687" t="s">
        <v>14</v>
      </c>
      <c r="C687" t="s">
        <v>12</v>
      </c>
      <c r="D687">
        <v>5002</v>
      </c>
      <c r="E687">
        <v>3008</v>
      </c>
      <c r="F687">
        <v>2369</v>
      </c>
      <c r="G687">
        <v>35</v>
      </c>
      <c r="H687">
        <v>102</v>
      </c>
      <c r="I687">
        <v>91.73</v>
      </c>
      <c r="J687">
        <v>769</v>
      </c>
    </row>
    <row r="688" spans="1:10" x14ac:dyDescent="0.35">
      <c r="A688" s="1">
        <v>45146</v>
      </c>
      <c r="B688" t="s">
        <v>15</v>
      </c>
      <c r="C688" t="s">
        <v>11</v>
      </c>
      <c r="D688">
        <v>1799</v>
      </c>
      <c r="E688">
        <v>1562</v>
      </c>
      <c r="F688">
        <v>2016</v>
      </c>
      <c r="G688">
        <v>9</v>
      </c>
      <c r="H688">
        <v>822</v>
      </c>
      <c r="I688">
        <v>151.85</v>
      </c>
      <c r="J688">
        <v>491</v>
      </c>
    </row>
    <row r="689" spans="1:10" x14ac:dyDescent="0.35">
      <c r="A689" s="1">
        <v>45146</v>
      </c>
      <c r="B689" t="s">
        <v>15</v>
      </c>
      <c r="C689" t="s">
        <v>12</v>
      </c>
      <c r="D689">
        <v>3279</v>
      </c>
      <c r="E689">
        <v>1617</v>
      </c>
      <c r="F689">
        <v>1543</v>
      </c>
      <c r="G689">
        <v>25</v>
      </c>
      <c r="H689">
        <v>84</v>
      </c>
      <c r="I689">
        <v>134.63999999999999</v>
      </c>
      <c r="J689">
        <v>992</v>
      </c>
    </row>
    <row r="690" spans="1:10" x14ac:dyDescent="0.35">
      <c r="A690" s="1">
        <v>45146</v>
      </c>
      <c r="B690" t="s">
        <v>16</v>
      </c>
      <c r="C690" t="s">
        <v>11</v>
      </c>
      <c r="D690">
        <v>7330</v>
      </c>
      <c r="E690">
        <v>6237</v>
      </c>
      <c r="F690">
        <v>3945</v>
      </c>
      <c r="G690">
        <v>58</v>
      </c>
      <c r="H690">
        <v>48</v>
      </c>
      <c r="I690">
        <v>104.86</v>
      </c>
      <c r="J690">
        <v>2854</v>
      </c>
    </row>
    <row r="691" spans="1:10" x14ac:dyDescent="0.35">
      <c r="A691" s="1">
        <v>45146</v>
      </c>
      <c r="B691" t="s">
        <v>16</v>
      </c>
      <c r="C691" t="s">
        <v>12</v>
      </c>
      <c r="D691">
        <v>7078</v>
      </c>
      <c r="E691">
        <v>6005</v>
      </c>
      <c r="F691">
        <v>2232</v>
      </c>
      <c r="G691">
        <v>58</v>
      </c>
      <c r="H691">
        <v>120</v>
      </c>
      <c r="I691">
        <v>138.58000000000001</v>
      </c>
      <c r="J691">
        <v>1073</v>
      </c>
    </row>
    <row r="692" spans="1:10" x14ac:dyDescent="0.35">
      <c r="A692" s="1">
        <v>45147</v>
      </c>
      <c r="B692" t="s">
        <v>10</v>
      </c>
      <c r="C692" t="s">
        <v>11</v>
      </c>
      <c r="D692">
        <v>16332</v>
      </c>
      <c r="E692">
        <v>11201</v>
      </c>
      <c r="F692">
        <v>8142</v>
      </c>
      <c r="G692">
        <v>119</v>
      </c>
      <c r="H692">
        <v>78</v>
      </c>
      <c r="I692">
        <v>63.17</v>
      </c>
      <c r="J692">
        <v>3245</v>
      </c>
    </row>
    <row r="693" spans="1:10" x14ac:dyDescent="0.35">
      <c r="A693" s="1">
        <v>45147</v>
      </c>
      <c r="B693" t="s">
        <v>10</v>
      </c>
      <c r="C693" t="s">
        <v>12</v>
      </c>
      <c r="D693">
        <v>5780</v>
      </c>
      <c r="E693">
        <v>1498</v>
      </c>
      <c r="F693">
        <v>1918</v>
      </c>
      <c r="G693">
        <v>14</v>
      </c>
      <c r="H693">
        <v>61</v>
      </c>
      <c r="I693">
        <v>85.47</v>
      </c>
      <c r="J693">
        <v>1034</v>
      </c>
    </row>
    <row r="694" spans="1:10" x14ac:dyDescent="0.35">
      <c r="A694" s="1">
        <v>45147</v>
      </c>
      <c r="B694" t="s">
        <v>13</v>
      </c>
      <c r="C694" t="s">
        <v>11</v>
      </c>
      <c r="D694">
        <v>9929</v>
      </c>
      <c r="E694">
        <v>4525</v>
      </c>
      <c r="F694">
        <v>4574</v>
      </c>
      <c r="G694">
        <v>73</v>
      </c>
      <c r="H694">
        <v>40</v>
      </c>
      <c r="I694">
        <v>35.369999999999997</v>
      </c>
      <c r="J694">
        <v>2645</v>
      </c>
    </row>
    <row r="695" spans="1:10" x14ac:dyDescent="0.35">
      <c r="A695" s="1">
        <v>45147</v>
      </c>
      <c r="B695" t="s">
        <v>13</v>
      </c>
      <c r="C695" t="s">
        <v>12</v>
      </c>
      <c r="D695">
        <v>4827</v>
      </c>
      <c r="E695">
        <v>2648</v>
      </c>
      <c r="F695">
        <v>1480</v>
      </c>
      <c r="G695">
        <v>15</v>
      </c>
      <c r="H695">
        <v>34</v>
      </c>
      <c r="I695">
        <v>153.44999999999999</v>
      </c>
      <c r="J695">
        <v>682</v>
      </c>
    </row>
    <row r="696" spans="1:10" x14ac:dyDescent="0.35">
      <c r="A696" s="1">
        <v>45147</v>
      </c>
      <c r="B696" t="s">
        <v>14</v>
      </c>
      <c r="C696" t="s">
        <v>11</v>
      </c>
      <c r="D696">
        <v>6299</v>
      </c>
      <c r="E696">
        <v>4859</v>
      </c>
      <c r="F696">
        <v>3664</v>
      </c>
      <c r="G696">
        <v>73</v>
      </c>
      <c r="H696">
        <v>119</v>
      </c>
      <c r="I696">
        <v>84.02</v>
      </c>
      <c r="J696">
        <v>1911</v>
      </c>
    </row>
    <row r="697" spans="1:10" x14ac:dyDescent="0.35">
      <c r="A697" s="1">
        <v>45147</v>
      </c>
      <c r="B697" t="s">
        <v>14</v>
      </c>
      <c r="C697" t="s">
        <v>12</v>
      </c>
      <c r="D697">
        <v>6641</v>
      </c>
      <c r="E697">
        <v>3227</v>
      </c>
      <c r="F697">
        <v>2129</v>
      </c>
      <c r="G697">
        <v>40</v>
      </c>
      <c r="H697">
        <v>89</v>
      </c>
      <c r="I697">
        <v>153.94999999999999</v>
      </c>
      <c r="J697">
        <v>1498</v>
      </c>
    </row>
    <row r="698" spans="1:10" x14ac:dyDescent="0.35">
      <c r="A698" s="1">
        <v>45147</v>
      </c>
      <c r="B698" t="s">
        <v>15</v>
      </c>
      <c r="C698" t="s">
        <v>11</v>
      </c>
      <c r="D698">
        <v>3110</v>
      </c>
      <c r="E698">
        <v>2083</v>
      </c>
      <c r="F698">
        <v>1374</v>
      </c>
      <c r="G698">
        <v>20</v>
      </c>
      <c r="H698">
        <v>76</v>
      </c>
      <c r="I698">
        <v>155.47999999999999</v>
      </c>
      <c r="J698">
        <v>941</v>
      </c>
    </row>
    <row r="699" spans="1:10" x14ac:dyDescent="0.35">
      <c r="A699" s="1">
        <v>45147</v>
      </c>
      <c r="B699" t="s">
        <v>15</v>
      </c>
      <c r="C699" t="s">
        <v>12</v>
      </c>
      <c r="D699">
        <v>2300</v>
      </c>
      <c r="E699">
        <v>1838</v>
      </c>
      <c r="F699">
        <v>2028</v>
      </c>
      <c r="G699">
        <v>27</v>
      </c>
      <c r="H699">
        <v>734</v>
      </c>
      <c r="I699">
        <v>145.19</v>
      </c>
      <c r="J699">
        <v>403</v>
      </c>
    </row>
    <row r="700" spans="1:10" x14ac:dyDescent="0.35">
      <c r="A700" s="1">
        <v>45147</v>
      </c>
      <c r="B700" t="s">
        <v>16</v>
      </c>
      <c r="C700" t="s">
        <v>11</v>
      </c>
      <c r="D700">
        <v>3619</v>
      </c>
      <c r="E700">
        <v>2524</v>
      </c>
      <c r="F700">
        <v>1316</v>
      </c>
      <c r="G700">
        <v>18</v>
      </c>
      <c r="H700">
        <v>750</v>
      </c>
      <c r="I700">
        <v>131.22</v>
      </c>
      <c r="J700">
        <v>419</v>
      </c>
    </row>
    <row r="701" spans="1:10" x14ac:dyDescent="0.35">
      <c r="A701" s="1">
        <v>45147</v>
      </c>
      <c r="B701" t="s">
        <v>16</v>
      </c>
      <c r="C701" t="s">
        <v>12</v>
      </c>
      <c r="D701">
        <v>2656</v>
      </c>
      <c r="E701">
        <v>1913</v>
      </c>
      <c r="F701">
        <v>1556</v>
      </c>
      <c r="G701">
        <v>19</v>
      </c>
      <c r="H701">
        <v>37</v>
      </c>
      <c r="I701">
        <v>30.3</v>
      </c>
      <c r="J701">
        <v>971</v>
      </c>
    </row>
    <row r="702" spans="1:10" x14ac:dyDescent="0.35">
      <c r="A702" s="1">
        <v>45148</v>
      </c>
      <c r="B702" t="s">
        <v>10</v>
      </c>
      <c r="C702" t="s">
        <v>11</v>
      </c>
      <c r="D702">
        <v>4991</v>
      </c>
      <c r="E702">
        <v>1387</v>
      </c>
      <c r="F702">
        <v>1679</v>
      </c>
      <c r="G702">
        <v>19</v>
      </c>
      <c r="H702">
        <v>52</v>
      </c>
      <c r="I702">
        <v>24.46</v>
      </c>
      <c r="J702">
        <v>732</v>
      </c>
    </row>
    <row r="703" spans="1:10" x14ac:dyDescent="0.35">
      <c r="A703" s="1">
        <v>45148</v>
      </c>
      <c r="B703" t="s">
        <v>10</v>
      </c>
      <c r="C703" t="s">
        <v>12</v>
      </c>
      <c r="D703">
        <v>9706</v>
      </c>
      <c r="E703">
        <v>3491</v>
      </c>
      <c r="F703">
        <v>4709</v>
      </c>
      <c r="G703">
        <v>33</v>
      </c>
      <c r="H703">
        <v>137</v>
      </c>
      <c r="I703">
        <v>35.03</v>
      </c>
      <c r="J703">
        <v>3468</v>
      </c>
    </row>
    <row r="704" spans="1:10" x14ac:dyDescent="0.35">
      <c r="A704" s="1">
        <v>45148</v>
      </c>
      <c r="B704" t="s">
        <v>13</v>
      </c>
      <c r="C704" t="s">
        <v>11</v>
      </c>
      <c r="D704">
        <v>8113</v>
      </c>
      <c r="E704">
        <v>5403</v>
      </c>
      <c r="F704">
        <v>4056</v>
      </c>
      <c r="G704">
        <v>39</v>
      </c>
      <c r="H704">
        <v>51</v>
      </c>
      <c r="I704">
        <v>82.3</v>
      </c>
      <c r="J704">
        <v>2355</v>
      </c>
    </row>
    <row r="705" spans="1:10" x14ac:dyDescent="0.35">
      <c r="A705" s="1">
        <v>45148</v>
      </c>
      <c r="B705" t="s">
        <v>13</v>
      </c>
      <c r="C705" t="s">
        <v>12</v>
      </c>
      <c r="D705">
        <v>2670</v>
      </c>
      <c r="E705">
        <v>902</v>
      </c>
      <c r="F705">
        <v>1452</v>
      </c>
      <c r="G705">
        <v>12</v>
      </c>
      <c r="H705">
        <v>37</v>
      </c>
      <c r="I705">
        <v>86.98</v>
      </c>
      <c r="J705">
        <v>604</v>
      </c>
    </row>
    <row r="706" spans="1:10" x14ac:dyDescent="0.35">
      <c r="A706" s="1">
        <v>45148</v>
      </c>
      <c r="B706" t="s">
        <v>14</v>
      </c>
      <c r="C706" t="s">
        <v>11</v>
      </c>
      <c r="D706">
        <v>6387</v>
      </c>
      <c r="E706">
        <v>5469</v>
      </c>
      <c r="F706">
        <v>3459</v>
      </c>
      <c r="G706">
        <v>75</v>
      </c>
      <c r="H706">
        <v>71</v>
      </c>
      <c r="I706">
        <v>167.24</v>
      </c>
      <c r="J706">
        <v>1251</v>
      </c>
    </row>
    <row r="707" spans="1:10" x14ac:dyDescent="0.35">
      <c r="A707" s="1">
        <v>45148</v>
      </c>
      <c r="B707" t="s">
        <v>14</v>
      </c>
      <c r="C707" t="s">
        <v>12</v>
      </c>
      <c r="D707">
        <v>6969</v>
      </c>
      <c r="E707">
        <v>3117</v>
      </c>
      <c r="F707">
        <v>3839</v>
      </c>
      <c r="G707">
        <v>42</v>
      </c>
      <c r="H707">
        <v>34</v>
      </c>
      <c r="I707">
        <v>166.89</v>
      </c>
      <c r="J707">
        <v>2642</v>
      </c>
    </row>
    <row r="708" spans="1:10" x14ac:dyDescent="0.35">
      <c r="A708" s="1">
        <v>45148</v>
      </c>
      <c r="B708" t="s">
        <v>15</v>
      </c>
      <c r="C708" t="s">
        <v>11</v>
      </c>
      <c r="D708">
        <v>4071</v>
      </c>
      <c r="E708">
        <v>1122</v>
      </c>
      <c r="F708">
        <v>1298</v>
      </c>
      <c r="G708">
        <v>14</v>
      </c>
      <c r="H708">
        <v>104</v>
      </c>
      <c r="I708">
        <v>44.63</v>
      </c>
      <c r="J708">
        <v>579</v>
      </c>
    </row>
    <row r="709" spans="1:10" x14ac:dyDescent="0.35">
      <c r="A709" s="1">
        <v>45148</v>
      </c>
      <c r="B709" t="s">
        <v>15</v>
      </c>
      <c r="C709" t="s">
        <v>12</v>
      </c>
      <c r="D709">
        <v>2240</v>
      </c>
      <c r="E709">
        <v>919</v>
      </c>
      <c r="F709">
        <v>2173</v>
      </c>
      <c r="G709">
        <v>10</v>
      </c>
      <c r="H709">
        <v>651</v>
      </c>
      <c r="I709">
        <v>154.54</v>
      </c>
      <c r="J709">
        <v>320</v>
      </c>
    </row>
    <row r="710" spans="1:10" x14ac:dyDescent="0.35">
      <c r="A710" s="1">
        <v>45148</v>
      </c>
      <c r="B710" t="s">
        <v>16</v>
      </c>
      <c r="C710" t="s">
        <v>11</v>
      </c>
      <c r="D710">
        <v>8708</v>
      </c>
      <c r="E710">
        <v>3312</v>
      </c>
      <c r="F710">
        <v>4620</v>
      </c>
      <c r="G710">
        <v>36</v>
      </c>
      <c r="H710">
        <v>52</v>
      </c>
      <c r="I710">
        <v>145.66999999999999</v>
      </c>
      <c r="J710">
        <v>1515</v>
      </c>
    </row>
    <row r="711" spans="1:10" x14ac:dyDescent="0.35">
      <c r="A711" s="1">
        <v>45148</v>
      </c>
      <c r="B711" t="s">
        <v>16</v>
      </c>
      <c r="C711" t="s">
        <v>12</v>
      </c>
      <c r="D711">
        <v>4480</v>
      </c>
      <c r="E711">
        <v>1245</v>
      </c>
      <c r="F711">
        <v>1502</v>
      </c>
      <c r="G711">
        <v>18</v>
      </c>
      <c r="H711">
        <v>812</v>
      </c>
      <c r="I711">
        <v>56.4</v>
      </c>
      <c r="J711">
        <v>481</v>
      </c>
    </row>
    <row r="712" spans="1:10" x14ac:dyDescent="0.35">
      <c r="A712" s="1">
        <v>45149</v>
      </c>
      <c r="B712" t="s">
        <v>10</v>
      </c>
      <c r="C712" t="s">
        <v>11</v>
      </c>
      <c r="D712">
        <v>10865</v>
      </c>
      <c r="E712">
        <v>5683</v>
      </c>
      <c r="F712">
        <v>6065</v>
      </c>
      <c r="G712">
        <v>69</v>
      </c>
      <c r="H712">
        <v>64</v>
      </c>
      <c r="I712">
        <v>67.06</v>
      </c>
      <c r="J712">
        <v>2764</v>
      </c>
    </row>
    <row r="713" spans="1:10" x14ac:dyDescent="0.35">
      <c r="A713" s="1">
        <v>45149</v>
      </c>
      <c r="B713" t="s">
        <v>10</v>
      </c>
      <c r="C713" t="s">
        <v>12</v>
      </c>
      <c r="D713">
        <v>10294</v>
      </c>
      <c r="E713">
        <v>9028</v>
      </c>
      <c r="F713">
        <v>4336</v>
      </c>
      <c r="G713">
        <v>69</v>
      </c>
      <c r="H713">
        <v>38</v>
      </c>
      <c r="I713">
        <v>157.74</v>
      </c>
      <c r="J713">
        <v>3239</v>
      </c>
    </row>
    <row r="714" spans="1:10" x14ac:dyDescent="0.35">
      <c r="A714" s="1">
        <v>45149</v>
      </c>
      <c r="B714" t="s">
        <v>13</v>
      </c>
      <c r="C714" t="s">
        <v>11</v>
      </c>
      <c r="D714">
        <v>3565</v>
      </c>
      <c r="E714">
        <v>1586</v>
      </c>
      <c r="F714">
        <v>1977</v>
      </c>
      <c r="G714">
        <v>17</v>
      </c>
      <c r="H714">
        <v>43</v>
      </c>
      <c r="I714">
        <v>58.76</v>
      </c>
      <c r="J714">
        <v>1202</v>
      </c>
    </row>
    <row r="715" spans="1:10" x14ac:dyDescent="0.35">
      <c r="A715" s="1">
        <v>45149</v>
      </c>
      <c r="B715" t="s">
        <v>13</v>
      </c>
      <c r="C715" t="s">
        <v>12</v>
      </c>
      <c r="D715">
        <v>4336</v>
      </c>
      <c r="E715">
        <v>2033</v>
      </c>
      <c r="F715">
        <v>1374</v>
      </c>
      <c r="G715">
        <v>32</v>
      </c>
      <c r="H715">
        <v>83</v>
      </c>
      <c r="I715">
        <v>42.16</v>
      </c>
      <c r="J715">
        <v>712</v>
      </c>
    </row>
    <row r="716" spans="1:10" x14ac:dyDescent="0.35">
      <c r="A716" s="1">
        <v>45149</v>
      </c>
      <c r="B716" t="s">
        <v>14</v>
      </c>
      <c r="C716" t="s">
        <v>11</v>
      </c>
      <c r="D716">
        <v>9867</v>
      </c>
      <c r="E716">
        <v>4142</v>
      </c>
      <c r="F716">
        <v>5482</v>
      </c>
      <c r="G716">
        <v>37</v>
      </c>
      <c r="H716">
        <v>105</v>
      </c>
      <c r="I716">
        <v>164.53</v>
      </c>
      <c r="J716">
        <v>3024</v>
      </c>
    </row>
    <row r="717" spans="1:10" x14ac:dyDescent="0.35">
      <c r="A717" s="1">
        <v>45149</v>
      </c>
      <c r="B717" t="s">
        <v>14</v>
      </c>
      <c r="C717" t="s">
        <v>12</v>
      </c>
      <c r="D717">
        <v>2452</v>
      </c>
      <c r="E717">
        <v>2290</v>
      </c>
      <c r="F717">
        <v>1179</v>
      </c>
      <c r="G717">
        <v>22</v>
      </c>
      <c r="H717">
        <v>727</v>
      </c>
      <c r="I717">
        <v>155.41</v>
      </c>
      <c r="J717">
        <v>396</v>
      </c>
    </row>
    <row r="718" spans="1:10" x14ac:dyDescent="0.35">
      <c r="A718" s="1">
        <v>45149</v>
      </c>
      <c r="B718" t="s">
        <v>15</v>
      </c>
      <c r="C718" t="s">
        <v>11</v>
      </c>
      <c r="D718">
        <v>5555</v>
      </c>
      <c r="E718">
        <v>1837</v>
      </c>
      <c r="F718">
        <v>2943</v>
      </c>
      <c r="G718">
        <v>22</v>
      </c>
      <c r="H718">
        <v>62</v>
      </c>
      <c r="I718">
        <v>46.67</v>
      </c>
      <c r="J718">
        <v>1421</v>
      </c>
    </row>
    <row r="719" spans="1:10" x14ac:dyDescent="0.35">
      <c r="A719" s="1">
        <v>45149</v>
      </c>
      <c r="B719" t="s">
        <v>15</v>
      </c>
      <c r="C719" t="s">
        <v>12</v>
      </c>
      <c r="D719">
        <v>1578</v>
      </c>
      <c r="E719">
        <v>687</v>
      </c>
      <c r="F719">
        <v>2087</v>
      </c>
      <c r="G719">
        <v>39</v>
      </c>
      <c r="H719">
        <v>780</v>
      </c>
      <c r="I719">
        <v>64.66</v>
      </c>
      <c r="J719">
        <v>449</v>
      </c>
    </row>
    <row r="720" spans="1:10" x14ac:dyDescent="0.35">
      <c r="A720" s="1">
        <v>45149</v>
      </c>
      <c r="B720" t="s">
        <v>16</v>
      </c>
      <c r="C720" t="s">
        <v>11</v>
      </c>
      <c r="D720">
        <v>5294</v>
      </c>
      <c r="E720">
        <v>1860</v>
      </c>
      <c r="F720">
        <v>1920</v>
      </c>
      <c r="G720">
        <v>17</v>
      </c>
      <c r="H720">
        <v>30</v>
      </c>
      <c r="I720">
        <v>68.819999999999993</v>
      </c>
      <c r="J720">
        <v>1177</v>
      </c>
    </row>
    <row r="721" spans="1:10" x14ac:dyDescent="0.35">
      <c r="A721" s="1">
        <v>45149</v>
      </c>
      <c r="B721" t="s">
        <v>16</v>
      </c>
      <c r="C721" t="s">
        <v>12</v>
      </c>
      <c r="D721">
        <v>4656</v>
      </c>
      <c r="E721">
        <v>1964</v>
      </c>
      <c r="F721">
        <v>2580</v>
      </c>
      <c r="G721">
        <v>20</v>
      </c>
      <c r="H721">
        <v>115</v>
      </c>
      <c r="I721">
        <v>177.66</v>
      </c>
      <c r="J721">
        <v>1013</v>
      </c>
    </row>
    <row r="722" spans="1:10" x14ac:dyDescent="0.35">
      <c r="A722" s="1">
        <v>45150</v>
      </c>
      <c r="B722" t="s">
        <v>10</v>
      </c>
      <c r="C722" t="s">
        <v>11</v>
      </c>
      <c r="D722">
        <v>8740</v>
      </c>
      <c r="E722">
        <v>5655</v>
      </c>
      <c r="F722">
        <v>2712</v>
      </c>
      <c r="G722">
        <v>30</v>
      </c>
      <c r="H722">
        <v>81</v>
      </c>
      <c r="I722">
        <v>29.31</v>
      </c>
      <c r="J722">
        <v>1358</v>
      </c>
    </row>
    <row r="723" spans="1:10" x14ac:dyDescent="0.35">
      <c r="A723" s="1">
        <v>45150</v>
      </c>
      <c r="B723" t="s">
        <v>10</v>
      </c>
      <c r="C723" t="s">
        <v>12</v>
      </c>
      <c r="D723">
        <v>9458</v>
      </c>
      <c r="E723">
        <v>5014</v>
      </c>
      <c r="F723">
        <v>4600</v>
      </c>
      <c r="G723">
        <v>62</v>
      </c>
      <c r="H723">
        <v>39</v>
      </c>
      <c r="I723">
        <v>138.97999999999999</v>
      </c>
      <c r="J723">
        <v>1630</v>
      </c>
    </row>
    <row r="724" spans="1:10" x14ac:dyDescent="0.35">
      <c r="A724" s="1">
        <v>45150</v>
      </c>
      <c r="B724" t="s">
        <v>13</v>
      </c>
      <c r="C724" t="s">
        <v>11</v>
      </c>
      <c r="D724">
        <v>4599</v>
      </c>
      <c r="E724">
        <v>2719</v>
      </c>
      <c r="F724">
        <v>1517</v>
      </c>
      <c r="G724">
        <v>39</v>
      </c>
      <c r="H724">
        <v>102</v>
      </c>
      <c r="I724">
        <v>130.63</v>
      </c>
      <c r="J724">
        <v>747</v>
      </c>
    </row>
    <row r="725" spans="1:10" x14ac:dyDescent="0.35">
      <c r="A725" s="1">
        <v>45150</v>
      </c>
      <c r="B725" t="s">
        <v>13</v>
      </c>
      <c r="C725" t="s">
        <v>12</v>
      </c>
      <c r="D725">
        <v>2489</v>
      </c>
      <c r="E725">
        <v>2253</v>
      </c>
      <c r="F725">
        <v>1984</v>
      </c>
      <c r="G725">
        <v>37</v>
      </c>
      <c r="H725">
        <v>644</v>
      </c>
      <c r="I725">
        <v>78.89</v>
      </c>
      <c r="J725">
        <v>313</v>
      </c>
    </row>
    <row r="726" spans="1:10" x14ac:dyDescent="0.35">
      <c r="A726" s="1">
        <v>45150</v>
      </c>
      <c r="B726" t="s">
        <v>14</v>
      </c>
      <c r="C726" t="s">
        <v>11</v>
      </c>
      <c r="D726">
        <v>5641</v>
      </c>
      <c r="E726">
        <v>2180</v>
      </c>
      <c r="F726">
        <v>3247</v>
      </c>
      <c r="G726">
        <v>35</v>
      </c>
      <c r="H726">
        <v>38</v>
      </c>
      <c r="I726">
        <v>77.239999999999995</v>
      </c>
      <c r="J726">
        <v>1043</v>
      </c>
    </row>
    <row r="727" spans="1:10" x14ac:dyDescent="0.35">
      <c r="A727" s="1">
        <v>45150</v>
      </c>
      <c r="B727" t="s">
        <v>14</v>
      </c>
      <c r="C727" t="s">
        <v>12</v>
      </c>
      <c r="D727">
        <v>5854</v>
      </c>
      <c r="E727">
        <v>4056</v>
      </c>
      <c r="F727">
        <v>3250</v>
      </c>
      <c r="G727">
        <v>51</v>
      </c>
      <c r="H727">
        <v>88</v>
      </c>
      <c r="I727">
        <v>68.83</v>
      </c>
      <c r="J727">
        <v>2058</v>
      </c>
    </row>
    <row r="728" spans="1:10" x14ac:dyDescent="0.35">
      <c r="A728" s="1">
        <v>45150</v>
      </c>
      <c r="B728" t="s">
        <v>15</v>
      </c>
      <c r="C728" t="s">
        <v>11</v>
      </c>
      <c r="D728">
        <v>2760</v>
      </c>
      <c r="E728">
        <v>1841</v>
      </c>
      <c r="F728">
        <v>2151</v>
      </c>
      <c r="G728">
        <v>20</v>
      </c>
      <c r="H728">
        <v>715</v>
      </c>
      <c r="I728">
        <v>24.65</v>
      </c>
      <c r="J728">
        <v>384</v>
      </c>
    </row>
    <row r="729" spans="1:10" x14ac:dyDescent="0.35">
      <c r="A729" s="1">
        <v>45150</v>
      </c>
      <c r="B729" t="s">
        <v>15</v>
      </c>
      <c r="C729" t="s">
        <v>12</v>
      </c>
      <c r="D729">
        <v>3266</v>
      </c>
      <c r="E729">
        <v>1464</v>
      </c>
      <c r="F729">
        <v>1630</v>
      </c>
      <c r="G729">
        <v>14</v>
      </c>
      <c r="H729">
        <v>89</v>
      </c>
      <c r="I729">
        <v>111.25</v>
      </c>
      <c r="J729">
        <v>576</v>
      </c>
    </row>
    <row r="730" spans="1:10" x14ac:dyDescent="0.35">
      <c r="A730" s="1">
        <v>45150</v>
      </c>
      <c r="B730" t="s">
        <v>16</v>
      </c>
      <c r="C730" t="s">
        <v>11</v>
      </c>
      <c r="D730">
        <v>6173</v>
      </c>
      <c r="E730">
        <v>4477</v>
      </c>
      <c r="F730">
        <v>2480</v>
      </c>
      <c r="G730">
        <v>23</v>
      </c>
      <c r="H730">
        <v>95</v>
      </c>
      <c r="I730">
        <v>82.77</v>
      </c>
      <c r="J730">
        <v>1632</v>
      </c>
    </row>
    <row r="731" spans="1:10" x14ac:dyDescent="0.35">
      <c r="A731" s="1">
        <v>45150</v>
      </c>
      <c r="B731" t="s">
        <v>16</v>
      </c>
      <c r="C731" t="s">
        <v>12</v>
      </c>
      <c r="D731">
        <v>6175</v>
      </c>
      <c r="E731">
        <v>2622</v>
      </c>
      <c r="F731">
        <v>2095</v>
      </c>
      <c r="G731">
        <v>42</v>
      </c>
      <c r="H731">
        <v>37</v>
      </c>
      <c r="I731">
        <v>176.54</v>
      </c>
      <c r="J731">
        <v>1380</v>
      </c>
    </row>
    <row r="732" spans="1:10" x14ac:dyDescent="0.35">
      <c r="A732" s="1">
        <v>45151</v>
      </c>
      <c r="B732" t="s">
        <v>10</v>
      </c>
      <c r="C732" t="s">
        <v>11</v>
      </c>
      <c r="D732">
        <v>12839</v>
      </c>
      <c r="E732">
        <v>7838</v>
      </c>
      <c r="F732">
        <v>5650</v>
      </c>
      <c r="G732">
        <v>117</v>
      </c>
      <c r="H732">
        <v>90</v>
      </c>
      <c r="I732">
        <v>88.19</v>
      </c>
      <c r="J732">
        <v>2609</v>
      </c>
    </row>
    <row r="733" spans="1:10" x14ac:dyDescent="0.35">
      <c r="A733" s="1">
        <v>45151</v>
      </c>
      <c r="B733" t="s">
        <v>10</v>
      </c>
      <c r="C733" t="s">
        <v>12</v>
      </c>
      <c r="D733">
        <v>10948</v>
      </c>
      <c r="E733">
        <v>4952</v>
      </c>
      <c r="F733">
        <v>5770</v>
      </c>
      <c r="G733">
        <v>52</v>
      </c>
      <c r="H733">
        <v>41</v>
      </c>
      <c r="I733">
        <v>94.29</v>
      </c>
      <c r="J733">
        <v>3521</v>
      </c>
    </row>
    <row r="734" spans="1:10" x14ac:dyDescent="0.35">
      <c r="A734" s="1">
        <v>45151</v>
      </c>
      <c r="B734" t="s">
        <v>13</v>
      </c>
      <c r="C734" t="s">
        <v>11</v>
      </c>
      <c r="D734">
        <v>7176</v>
      </c>
      <c r="E734">
        <v>2296</v>
      </c>
      <c r="F734">
        <v>3718</v>
      </c>
      <c r="G734">
        <v>12</v>
      </c>
      <c r="H734">
        <v>41</v>
      </c>
      <c r="I734">
        <v>107.02</v>
      </c>
      <c r="J734">
        <v>2577</v>
      </c>
    </row>
    <row r="735" spans="1:10" x14ac:dyDescent="0.35">
      <c r="A735" s="1">
        <v>45151</v>
      </c>
      <c r="B735" t="s">
        <v>13</v>
      </c>
      <c r="C735" t="s">
        <v>12</v>
      </c>
      <c r="D735">
        <v>6998</v>
      </c>
      <c r="E735">
        <v>5824</v>
      </c>
      <c r="F735">
        <v>2942</v>
      </c>
      <c r="G735">
        <v>50</v>
      </c>
      <c r="H735">
        <v>58</v>
      </c>
      <c r="I735">
        <v>46.79</v>
      </c>
      <c r="J735">
        <v>1548</v>
      </c>
    </row>
    <row r="736" spans="1:10" x14ac:dyDescent="0.35">
      <c r="A736" s="1">
        <v>45151</v>
      </c>
      <c r="B736" t="s">
        <v>14</v>
      </c>
      <c r="C736" t="s">
        <v>11</v>
      </c>
      <c r="D736">
        <v>5494</v>
      </c>
      <c r="E736">
        <v>3348</v>
      </c>
      <c r="F736">
        <v>3252</v>
      </c>
      <c r="G736">
        <v>45</v>
      </c>
      <c r="H736">
        <v>130</v>
      </c>
      <c r="I736">
        <v>69.900000000000006</v>
      </c>
      <c r="J736">
        <v>1270</v>
      </c>
    </row>
    <row r="737" spans="1:10" x14ac:dyDescent="0.35">
      <c r="A737" s="1">
        <v>45151</v>
      </c>
      <c r="B737" t="s">
        <v>14</v>
      </c>
      <c r="C737" t="s">
        <v>12</v>
      </c>
      <c r="D737">
        <v>5495</v>
      </c>
      <c r="E737">
        <v>4565</v>
      </c>
      <c r="F737">
        <v>2401</v>
      </c>
      <c r="G737">
        <v>23</v>
      </c>
      <c r="H737">
        <v>145</v>
      </c>
      <c r="I737">
        <v>90.96</v>
      </c>
      <c r="J737">
        <v>1076</v>
      </c>
    </row>
    <row r="738" spans="1:10" x14ac:dyDescent="0.35">
      <c r="A738" s="1">
        <v>45151</v>
      </c>
      <c r="B738" t="s">
        <v>15</v>
      </c>
      <c r="C738" t="s">
        <v>11</v>
      </c>
      <c r="D738">
        <v>1914</v>
      </c>
      <c r="E738">
        <v>944</v>
      </c>
      <c r="F738">
        <v>2087</v>
      </c>
      <c r="G738">
        <v>12</v>
      </c>
      <c r="H738">
        <v>642</v>
      </c>
      <c r="I738">
        <v>45.41</v>
      </c>
      <c r="J738">
        <v>311</v>
      </c>
    </row>
    <row r="739" spans="1:10" x14ac:dyDescent="0.35">
      <c r="A739" s="1">
        <v>45151</v>
      </c>
      <c r="B739" t="s">
        <v>15</v>
      </c>
      <c r="C739" t="s">
        <v>12</v>
      </c>
      <c r="D739">
        <v>2578</v>
      </c>
      <c r="E739">
        <v>766</v>
      </c>
      <c r="F739">
        <v>2002</v>
      </c>
      <c r="G739">
        <v>37</v>
      </c>
      <c r="H739">
        <v>635</v>
      </c>
      <c r="I739">
        <v>85.68</v>
      </c>
      <c r="J739">
        <v>304</v>
      </c>
    </row>
    <row r="740" spans="1:10" x14ac:dyDescent="0.35">
      <c r="A740" s="1">
        <v>45151</v>
      </c>
      <c r="B740" t="s">
        <v>16</v>
      </c>
      <c r="C740" t="s">
        <v>11</v>
      </c>
      <c r="D740">
        <v>11332</v>
      </c>
      <c r="E740">
        <v>5088</v>
      </c>
      <c r="F740">
        <v>3780</v>
      </c>
      <c r="G740">
        <v>59</v>
      </c>
      <c r="H740">
        <v>85</v>
      </c>
      <c r="I740">
        <v>103.36</v>
      </c>
      <c r="J740">
        <v>2171</v>
      </c>
    </row>
    <row r="741" spans="1:10" x14ac:dyDescent="0.35">
      <c r="A741" s="1">
        <v>45151</v>
      </c>
      <c r="B741" t="s">
        <v>16</v>
      </c>
      <c r="C741" t="s">
        <v>12</v>
      </c>
      <c r="D741">
        <v>4199</v>
      </c>
      <c r="E741">
        <v>1766</v>
      </c>
      <c r="F741">
        <v>2404</v>
      </c>
      <c r="G741">
        <v>19</v>
      </c>
      <c r="H741">
        <v>76</v>
      </c>
      <c r="I741">
        <v>167.94</v>
      </c>
      <c r="J741">
        <v>1571</v>
      </c>
    </row>
    <row r="742" spans="1:10" x14ac:dyDescent="0.35">
      <c r="A742" s="1">
        <v>45152</v>
      </c>
      <c r="B742" t="s">
        <v>10</v>
      </c>
      <c r="C742" t="s">
        <v>11</v>
      </c>
      <c r="D742">
        <v>17222</v>
      </c>
      <c r="E742">
        <v>15676</v>
      </c>
      <c r="F742">
        <v>7994</v>
      </c>
      <c r="G742">
        <v>87</v>
      </c>
      <c r="H742">
        <v>68</v>
      </c>
      <c r="I742">
        <v>110.67</v>
      </c>
      <c r="J742">
        <v>5601</v>
      </c>
    </row>
    <row r="743" spans="1:10" x14ac:dyDescent="0.35">
      <c r="A743" s="1">
        <v>45152</v>
      </c>
      <c r="B743" t="s">
        <v>10</v>
      </c>
      <c r="C743" t="s">
        <v>12</v>
      </c>
      <c r="D743">
        <v>11413</v>
      </c>
      <c r="E743">
        <v>10562</v>
      </c>
      <c r="F743">
        <v>5851</v>
      </c>
      <c r="G743">
        <v>154</v>
      </c>
      <c r="H743">
        <v>39</v>
      </c>
      <c r="I743">
        <v>28.62</v>
      </c>
      <c r="J743">
        <v>3303</v>
      </c>
    </row>
    <row r="744" spans="1:10" x14ac:dyDescent="0.35">
      <c r="A744" s="1">
        <v>45152</v>
      </c>
      <c r="B744" t="s">
        <v>13</v>
      </c>
      <c r="C744" t="s">
        <v>11</v>
      </c>
      <c r="D744">
        <v>9952</v>
      </c>
      <c r="E744">
        <v>7618</v>
      </c>
      <c r="F744">
        <v>3176</v>
      </c>
      <c r="G744">
        <v>70</v>
      </c>
      <c r="H744">
        <v>46</v>
      </c>
      <c r="I744">
        <v>65.03</v>
      </c>
      <c r="J744">
        <v>1059</v>
      </c>
    </row>
    <row r="745" spans="1:10" x14ac:dyDescent="0.35">
      <c r="A745" s="1">
        <v>45152</v>
      </c>
      <c r="B745" t="s">
        <v>13</v>
      </c>
      <c r="C745" t="s">
        <v>12</v>
      </c>
      <c r="D745">
        <v>5247</v>
      </c>
      <c r="E745">
        <v>3952</v>
      </c>
      <c r="F745">
        <v>1981</v>
      </c>
      <c r="G745">
        <v>38</v>
      </c>
      <c r="H745">
        <v>34</v>
      </c>
      <c r="I745">
        <v>169.71</v>
      </c>
      <c r="J745">
        <v>904</v>
      </c>
    </row>
    <row r="746" spans="1:10" x14ac:dyDescent="0.35">
      <c r="A746" s="1">
        <v>45152</v>
      </c>
      <c r="B746" t="s">
        <v>14</v>
      </c>
      <c r="C746" t="s">
        <v>11</v>
      </c>
      <c r="D746">
        <v>8217</v>
      </c>
      <c r="E746">
        <v>2512</v>
      </c>
      <c r="F746">
        <v>4833</v>
      </c>
      <c r="G746">
        <v>17</v>
      </c>
      <c r="H746">
        <v>43</v>
      </c>
      <c r="I746">
        <v>89.24</v>
      </c>
      <c r="J746">
        <v>2619</v>
      </c>
    </row>
    <row r="747" spans="1:10" x14ac:dyDescent="0.35">
      <c r="A747" s="1">
        <v>45152</v>
      </c>
      <c r="B747" t="s">
        <v>14</v>
      </c>
      <c r="C747" t="s">
        <v>12</v>
      </c>
      <c r="D747">
        <v>7979</v>
      </c>
      <c r="E747">
        <v>6216</v>
      </c>
      <c r="F747">
        <v>4469</v>
      </c>
      <c r="G747">
        <v>46</v>
      </c>
      <c r="H747">
        <v>55</v>
      </c>
      <c r="I747">
        <v>81.93</v>
      </c>
      <c r="J747">
        <v>3263</v>
      </c>
    </row>
    <row r="748" spans="1:10" x14ac:dyDescent="0.35">
      <c r="A748" s="1">
        <v>45152</v>
      </c>
      <c r="B748" t="s">
        <v>15</v>
      </c>
      <c r="C748" t="s">
        <v>11</v>
      </c>
      <c r="D748">
        <v>5315</v>
      </c>
      <c r="E748">
        <v>1489</v>
      </c>
      <c r="F748">
        <v>1686</v>
      </c>
      <c r="G748">
        <v>10</v>
      </c>
      <c r="H748">
        <v>89</v>
      </c>
      <c r="I748">
        <v>104.72</v>
      </c>
      <c r="J748">
        <v>1147</v>
      </c>
    </row>
    <row r="749" spans="1:10" x14ac:dyDescent="0.35">
      <c r="A749" s="1">
        <v>45152</v>
      </c>
      <c r="B749" t="s">
        <v>15</v>
      </c>
      <c r="C749" t="s">
        <v>12</v>
      </c>
      <c r="D749">
        <v>1822</v>
      </c>
      <c r="E749">
        <v>825</v>
      </c>
      <c r="F749">
        <v>2125</v>
      </c>
      <c r="G749">
        <v>38</v>
      </c>
      <c r="H749">
        <v>659</v>
      </c>
      <c r="I749">
        <v>43.13</v>
      </c>
      <c r="J749">
        <v>328</v>
      </c>
    </row>
    <row r="750" spans="1:10" x14ac:dyDescent="0.35">
      <c r="A750" s="1">
        <v>45152</v>
      </c>
      <c r="B750" t="s">
        <v>16</v>
      </c>
      <c r="C750" t="s">
        <v>11</v>
      </c>
      <c r="D750">
        <v>8040</v>
      </c>
      <c r="E750">
        <v>7114</v>
      </c>
      <c r="F750">
        <v>2990</v>
      </c>
      <c r="G750">
        <v>38</v>
      </c>
      <c r="H750">
        <v>38</v>
      </c>
      <c r="I750">
        <v>146.44999999999999</v>
      </c>
      <c r="J750">
        <v>940</v>
      </c>
    </row>
    <row r="751" spans="1:10" x14ac:dyDescent="0.35">
      <c r="A751" s="1">
        <v>45152</v>
      </c>
      <c r="B751" t="s">
        <v>16</v>
      </c>
      <c r="C751" t="s">
        <v>12</v>
      </c>
      <c r="D751">
        <v>7470</v>
      </c>
      <c r="E751">
        <v>6149</v>
      </c>
      <c r="F751">
        <v>2744</v>
      </c>
      <c r="G751">
        <v>48</v>
      </c>
      <c r="H751">
        <v>33</v>
      </c>
      <c r="I751">
        <v>45.59</v>
      </c>
      <c r="J751">
        <v>1446</v>
      </c>
    </row>
    <row r="752" spans="1:10" x14ac:dyDescent="0.35">
      <c r="A752" s="1">
        <v>45153</v>
      </c>
      <c r="B752" t="s">
        <v>10</v>
      </c>
      <c r="C752" t="s">
        <v>11</v>
      </c>
      <c r="D752">
        <v>15651</v>
      </c>
      <c r="E752">
        <v>9515</v>
      </c>
      <c r="F752">
        <v>9235</v>
      </c>
      <c r="G752">
        <v>97</v>
      </c>
      <c r="H752">
        <v>48</v>
      </c>
      <c r="I752">
        <v>158.97</v>
      </c>
      <c r="J752">
        <v>5144</v>
      </c>
    </row>
    <row r="753" spans="1:10" x14ac:dyDescent="0.35">
      <c r="A753" s="1">
        <v>45153</v>
      </c>
      <c r="B753" t="s">
        <v>10</v>
      </c>
      <c r="C753" t="s">
        <v>12</v>
      </c>
      <c r="D753">
        <v>11036</v>
      </c>
      <c r="E753">
        <v>9545</v>
      </c>
      <c r="F753">
        <v>5688</v>
      </c>
      <c r="G753">
        <v>113</v>
      </c>
      <c r="H753">
        <v>82</v>
      </c>
      <c r="I753">
        <v>58.31</v>
      </c>
      <c r="J753">
        <v>2659</v>
      </c>
    </row>
    <row r="754" spans="1:10" x14ac:dyDescent="0.35">
      <c r="A754" s="1">
        <v>45153</v>
      </c>
      <c r="B754" t="s">
        <v>13</v>
      </c>
      <c r="C754" t="s">
        <v>11</v>
      </c>
      <c r="D754">
        <v>4464</v>
      </c>
      <c r="E754">
        <v>3858</v>
      </c>
      <c r="F754">
        <v>2634</v>
      </c>
      <c r="G754">
        <v>30</v>
      </c>
      <c r="H754">
        <v>38</v>
      </c>
      <c r="I754">
        <v>128.87</v>
      </c>
      <c r="J754">
        <v>1926</v>
      </c>
    </row>
    <row r="755" spans="1:10" x14ac:dyDescent="0.35">
      <c r="A755" s="1">
        <v>45153</v>
      </c>
      <c r="B755" t="s">
        <v>13</v>
      </c>
      <c r="C755" t="s">
        <v>12</v>
      </c>
      <c r="D755">
        <v>4524</v>
      </c>
      <c r="E755">
        <v>4234</v>
      </c>
      <c r="F755">
        <v>1793</v>
      </c>
      <c r="G755">
        <v>43</v>
      </c>
      <c r="H755">
        <v>30</v>
      </c>
      <c r="I755">
        <v>34.72</v>
      </c>
      <c r="J755">
        <v>962</v>
      </c>
    </row>
    <row r="756" spans="1:10" x14ac:dyDescent="0.35">
      <c r="A756" s="1">
        <v>45153</v>
      </c>
      <c r="B756" t="s">
        <v>14</v>
      </c>
      <c r="C756" t="s">
        <v>11</v>
      </c>
      <c r="D756">
        <v>10908</v>
      </c>
      <c r="E756">
        <v>3023</v>
      </c>
      <c r="F756">
        <v>4536</v>
      </c>
      <c r="G756">
        <v>17</v>
      </c>
      <c r="H756">
        <v>143</v>
      </c>
      <c r="I756">
        <v>171.51</v>
      </c>
      <c r="J756">
        <v>2082</v>
      </c>
    </row>
    <row r="757" spans="1:10" x14ac:dyDescent="0.35">
      <c r="A757" s="1">
        <v>45153</v>
      </c>
      <c r="B757" t="s">
        <v>14</v>
      </c>
      <c r="C757" t="s">
        <v>12</v>
      </c>
      <c r="D757">
        <v>4296</v>
      </c>
      <c r="E757">
        <v>1625</v>
      </c>
      <c r="F757">
        <v>2545</v>
      </c>
      <c r="G757">
        <v>14</v>
      </c>
      <c r="H757">
        <v>83</v>
      </c>
      <c r="I757">
        <v>177.25</v>
      </c>
      <c r="J757">
        <v>1234</v>
      </c>
    </row>
    <row r="758" spans="1:10" x14ac:dyDescent="0.35">
      <c r="A758" s="1">
        <v>45153</v>
      </c>
      <c r="B758" t="s">
        <v>15</v>
      </c>
      <c r="C758" t="s">
        <v>11</v>
      </c>
      <c r="D758">
        <v>3095</v>
      </c>
      <c r="E758">
        <v>1645</v>
      </c>
      <c r="F758">
        <v>1717</v>
      </c>
      <c r="G758">
        <v>41</v>
      </c>
      <c r="H758">
        <v>78</v>
      </c>
      <c r="I758">
        <v>25.58</v>
      </c>
      <c r="J758">
        <v>810</v>
      </c>
    </row>
    <row r="759" spans="1:10" x14ac:dyDescent="0.35">
      <c r="A759" s="1">
        <v>45153</v>
      </c>
      <c r="B759" t="s">
        <v>15</v>
      </c>
      <c r="C759" t="s">
        <v>12</v>
      </c>
      <c r="D759">
        <v>1711</v>
      </c>
      <c r="E759">
        <v>1626</v>
      </c>
      <c r="F759">
        <v>1929</v>
      </c>
      <c r="G759">
        <v>13</v>
      </c>
      <c r="H759">
        <v>767</v>
      </c>
      <c r="I759">
        <v>90.95</v>
      </c>
      <c r="J759">
        <v>436</v>
      </c>
    </row>
    <row r="760" spans="1:10" x14ac:dyDescent="0.35">
      <c r="A760" s="1">
        <v>45153</v>
      </c>
      <c r="B760" t="s">
        <v>16</v>
      </c>
      <c r="C760" t="s">
        <v>11</v>
      </c>
      <c r="D760">
        <v>6649</v>
      </c>
      <c r="E760">
        <v>6085</v>
      </c>
      <c r="F760">
        <v>2232</v>
      </c>
      <c r="G760">
        <v>78</v>
      </c>
      <c r="H760">
        <v>146</v>
      </c>
      <c r="I760">
        <v>117.34</v>
      </c>
      <c r="J760">
        <v>739</v>
      </c>
    </row>
    <row r="761" spans="1:10" x14ac:dyDescent="0.35">
      <c r="A761" s="1">
        <v>45153</v>
      </c>
      <c r="B761" t="s">
        <v>16</v>
      </c>
      <c r="C761" t="s">
        <v>12</v>
      </c>
      <c r="D761">
        <v>4198</v>
      </c>
      <c r="E761">
        <v>3660</v>
      </c>
      <c r="F761">
        <v>2160</v>
      </c>
      <c r="G761">
        <v>22</v>
      </c>
      <c r="H761">
        <v>39</v>
      </c>
      <c r="I761">
        <v>50.88</v>
      </c>
      <c r="J761">
        <v>912</v>
      </c>
    </row>
    <row r="762" spans="1:10" x14ac:dyDescent="0.35">
      <c r="A762" s="1">
        <v>45154</v>
      </c>
      <c r="B762" t="s">
        <v>10</v>
      </c>
      <c r="C762" t="s">
        <v>11</v>
      </c>
      <c r="D762">
        <v>14366</v>
      </c>
      <c r="E762">
        <v>4888</v>
      </c>
      <c r="F762">
        <v>8066</v>
      </c>
      <c r="G762">
        <v>74</v>
      </c>
      <c r="H762">
        <v>82</v>
      </c>
      <c r="I762">
        <v>26.23</v>
      </c>
      <c r="J762">
        <v>3938</v>
      </c>
    </row>
    <row r="763" spans="1:10" x14ac:dyDescent="0.35">
      <c r="A763" s="1">
        <v>45154</v>
      </c>
      <c r="B763" t="s">
        <v>10</v>
      </c>
      <c r="C763" t="s">
        <v>12</v>
      </c>
      <c r="D763">
        <v>8101</v>
      </c>
      <c r="E763">
        <v>4036</v>
      </c>
      <c r="F763">
        <v>3480</v>
      </c>
      <c r="G763">
        <v>33</v>
      </c>
      <c r="H763">
        <v>144</v>
      </c>
      <c r="I763">
        <v>74.349999999999994</v>
      </c>
      <c r="J763">
        <v>1187</v>
      </c>
    </row>
    <row r="764" spans="1:10" x14ac:dyDescent="0.35">
      <c r="A764" s="1">
        <v>45154</v>
      </c>
      <c r="B764" t="s">
        <v>13</v>
      </c>
      <c r="C764" t="s">
        <v>11</v>
      </c>
      <c r="D764">
        <v>6542</v>
      </c>
      <c r="E764">
        <v>2431</v>
      </c>
      <c r="F764">
        <v>3210</v>
      </c>
      <c r="G764">
        <v>19</v>
      </c>
      <c r="H764">
        <v>99</v>
      </c>
      <c r="I764">
        <v>69.349999999999994</v>
      </c>
      <c r="J764">
        <v>2397</v>
      </c>
    </row>
    <row r="765" spans="1:10" x14ac:dyDescent="0.35">
      <c r="A765" s="1">
        <v>45154</v>
      </c>
      <c r="B765" t="s">
        <v>13</v>
      </c>
      <c r="C765" t="s">
        <v>12</v>
      </c>
      <c r="D765">
        <v>6983</v>
      </c>
      <c r="E765">
        <v>6031</v>
      </c>
      <c r="F765">
        <v>2382</v>
      </c>
      <c r="G765">
        <v>61</v>
      </c>
      <c r="H765">
        <v>40</v>
      </c>
      <c r="I765">
        <v>134.96</v>
      </c>
      <c r="J765">
        <v>1639</v>
      </c>
    </row>
    <row r="766" spans="1:10" x14ac:dyDescent="0.35">
      <c r="A766" s="1">
        <v>45154</v>
      </c>
      <c r="B766" t="s">
        <v>14</v>
      </c>
      <c r="C766" t="s">
        <v>11</v>
      </c>
      <c r="D766">
        <v>11651</v>
      </c>
      <c r="E766">
        <v>9942</v>
      </c>
      <c r="F766">
        <v>3860</v>
      </c>
      <c r="G766">
        <v>56</v>
      </c>
      <c r="H766">
        <v>54</v>
      </c>
      <c r="I766">
        <v>80.47</v>
      </c>
      <c r="J766">
        <v>2146</v>
      </c>
    </row>
    <row r="767" spans="1:10" x14ac:dyDescent="0.35">
      <c r="A767" s="1">
        <v>45154</v>
      </c>
      <c r="B767" t="s">
        <v>14</v>
      </c>
      <c r="C767" t="s">
        <v>12</v>
      </c>
      <c r="D767">
        <v>3583</v>
      </c>
      <c r="E767">
        <v>2326</v>
      </c>
      <c r="F767">
        <v>1585</v>
      </c>
      <c r="G767">
        <v>19</v>
      </c>
      <c r="H767">
        <v>34</v>
      </c>
      <c r="I767">
        <v>43.74</v>
      </c>
      <c r="J767">
        <v>713</v>
      </c>
    </row>
    <row r="768" spans="1:10" x14ac:dyDescent="0.35">
      <c r="A768" s="1">
        <v>45154</v>
      </c>
      <c r="B768" t="s">
        <v>15</v>
      </c>
      <c r="C768" t="s">
        <v>11</v>
      </c>
      <c r="D768">
        <v>4536</v>
      </c>
      <c r="E768">
        <v>3152</v>
      </c>
      <c r="F768">
        <v>1431</v>
      </c>
      <c r="G768">
        <v>35</v>
      </c>
      <c r="H768">
        <v>50</v>
      </c>
      <c r="I768">
        <v>168.39</v>
      </c>
      <c r="J768">
        <v>579</v>
      </c>
    </row>
    <row r="769" spans="1:10" x14ac:dyDescent="0.35">
      <c r="A769" s="1">
        <v>45154</v>
      </c>
      <c r="B769" t="s">
        <v>15</v>
      </c>
      <c r="C769" t="s">
        <v>12</v>
      </c>
      <c r="D769">
        <v>3137</v>
      </c>
      <c r="E769">
        <v>1891</v>
      </c>
      <c r="F769">
        <v>1184</v>
      </c>
      <c r="G769">
        <v>17</v>
      </c>
      <c r="H769">
        <v>49</v>
      </c>
      <c r="I769">
        <v>90.09</v>
      </c>
      <c r="J769">
        <v>602</v>
      </c>
    </row>
    <row r="770" spans="1:10" x14ac:dyDescent="0.35">
      <c r="A770" s="1">
        <v>45154</v>
      </c>
      <c r="B770" t="s">
        <v>16</v>
      </c>
      <c r="C770" t="s">
        <v>11</v>
      </c>
      <c r="D770">
        <v>9339</v>
      </c>
      <c r="E770">
        <v>6999</v>
      </c>
      <c r="F770">
        <v>4975</v>
      </c>
      <c r="G770">
        <v>44</v>
      </c>
      <c r="H770">
        <v>113</v>
      </c>
      <c r="I770">
        <v>87.38</v>
      </c>
      <c r="J770">
        <v>3302</v>
      </c>
    </row>
    <row r="771" spans="1:10" x14ac:dyDescent="0.35">
      <c r="A771" s="1">
        <v>45154</v>
      </c>
      <c r="B771" t="s">
        <v>16</v>
      </c>
      <c r="C771" t="s">
        <v>12</v>
      </c>
      <c r="D771">
        <v>7882</v>
      </c>
      <c r="E771">
        <v>6626</v>
      </c>
      <c r="F771">
        <v>3893</v>
      </c>
      <c r="G771">
        <v>78</v>
      </c>
      <c r="H771">
        <v>30</v>
      </c>
      <c r="I771">
        <v>120.43</v>
      </c>
      <c r="J771">
        <v>1971</v>
      </c>
    </row>
    <row r="772" spans="1:10" x14ac:dyDescent="0.35">
      <c r="A772" s="1">
        <v>45155</v>
      </c>
      <c r="B772" t="s">
        <v>10</v>
      </c>
      <c r="C772" t="s">
        <v>11</v>
      </c>
      <c r="D772">
        <v>17737</v>
      </c>
      <c r="E772">
        <v>15319</v>
      </c>
      <c r="F772">
        <v>6899</v>
      </c>
      <c r="G772">
        <v>166</v>
      </c>
      <c r="H772">
        <v>72</v>
      </c>
      <c r="I772">
        <v>146.18</v>
      </c>
      <c r="J772">
        <v>2893</v>
      </c>
    </row>
    <row r="773" spans="1:10" x14ac:dyDescent="0.35">
      <c r="A773" s="1">
        <v>45155</v>
      </c>
      <c r="B773" t="s">
        <v>10</v>
      </c>
      <c r="C773" t="s">
        <v>12</v>
      </c>
      <c r="D773">
        <v>6821</v>
      </c>
      <c r="E773">
        <v>2143</v>
      </c>
      <c r="F773">
        <v>3046</v>
      </c>
      <c r="G773">
        <v>25</v>
      </c>
      <c r="H773">
        <v>50</v>
      </c>
      <c r="I773">
        <v>165.26</v>
      </c>
      <c r="J773">
        <v>1632</v>
      </c>
    </row>
    <row r="774" spans="1:10" x14ac:dyDescent="0.35">
      <c r="A774" s="1">
        <v>45155</v>
      </c>
      <c r="B774" t="s">
        <v>13</v>
      </c>
      <c r="C774" t="s">
        <v>11</v>
      </c>
      <c r="D774">
        <v>11042</v>
      </c>
      <c r="E774">
        <v>9550</v>
      </c>
      <c r="F774">
        <v>5386</v>
      </c>
      <c r="G774">
        <v>140</v>
      </c>
      <c r="H774">
        <v>136</v>
      </c>
      <c r="I774">
        <v>88.4</v>
      </c>
      <c r="J774">
        <v>1798</v>
      </c>
    </row>
    <row r="775" spans="1:10" x14ac:dyDescent="0.35">
      <c r="A775" s="1">
        <v>45155</v>
      </c>
      <c r="B775" t="s">
        <v>13</v>
      </c>
      <c r="C775" t="s">
        <v>12</v>
      </c>
      <c r="D775">
        <v>5910</v>
      </c>
      <c r="E775">
        <v>2524</v>
      </c>
      <c r="F775">
        <v>3445</v>
      </c>
      <c r="G775">
        <v>24</v>
      </c>
      <c r="H775">
        <v>101</v>
      </c>
      <c r="I775">
        <v>98.65</v>
      </c>
      <c r="J775">
        <v>1980</v>
      </c>
    </row>
    <row r="776" spans="1:10" x14ac:dyDescent="0.35">
      <c r="A776" s="1">
        <v>45155</v>
      </c>
      <c r="B776" t="s">
        <v>14</v>
      </c>
      <c r="C776" t="s">
        <v>11</v>
      </c>
      <c r="D776">
        <v>7388</v>
      </c>
      <c r="E776">
        <v>5688</v>
      </c>
      <c r="F776">
        <v>3633</v>
      </c>
      <c r="G776">
        <v>47</v>
      </c>
      <c r="H776">
        <v>61</v>
      </c>
      <c r="I776">
        <v>145.19999999999999</v>
      </c>
      <c r="J776">
        <v>1647</v>
      </c>
    </row>
    <row r="777" spans="1:10" x14ac:dyDescent="0.35">
      <c r="A777" s="1">
        <v>45155</v>
      </c>
      <c r="B777" t="s">
        <v>14</v>
      </c>
      <c r="C777" t="s">
        <v>12</v>
      </c>
      <c r="D777">
        <v>6926</v>
      </c>
      <c r="E777">
        <v>6303</v>
      </c>
      <c r="F777">
        <v>3526</v>
      </c>
      <c r="G777">
        <v>33</v>
      </c>
      <c r="H777">
        <v>129</v>
      </c>
      <c r="I777">
        <v>72.38</v>
      </c>
      <c r="J777">
        <v>2208</v>
      </c>
    </row>
    <row r="778" spans="1:10" x14ac:dyDescent="0.35">
      <c r="A778" s="1">
        <v>45155</v>
      </c>
      <c r="B778" t="s">
        <v>15</v>
      </c>
      <c r="C778" t="s">
        <v>11</v>
      </c>
      <c r="D778">
        <v>2748</v>
      </c>
      <c r="E778">
        <v>789</v>
      </c>
      <c r="F778">
        <v>1357</v>
      </c>
      <c r="G778">
        <v>11</v>
      </c>
      <c r="H778">
        <v>77</v>
      </c>
      <c r="I778">
        <v>57.09</v>
      </c>
      <c r="J778">
        <v>803</v>
      </c>
    </row>
    <row r="779" spans="1:10" x14ac:dyDescent="0.35">
      <c r="A779" s="1">
        <v>45155</v>
      </c>
      <c r="B779" t="s">
        <v>15</v>
      </c>
      <c r="C779" t="s">
        <v>12</v>
      </c>
      <c r="D779">
        <v>1589</v>
      </c>
      <c r="E779">
        <v>1424</v>
      </c>
      <c r="F779">
        <v>1496</v>
      </c>
      <c r="G779">
        <v>14</v>
      </c>
      <c r="H779">
        <v>560</v>
      </c>
      <c r="I779">
        <v>156.62</v>
      </c>
      <c r="J779">
        <v>229</v>
      </c>
    </row>
    <row r="780" spans="1:10" x14ac:dyDescent="0.35">
      <c r="A780" s="1">
        <v>45155</v>
      </c>
      <c r="B780" t="s">
        <v>16</v>
      </c>
      <c r="C780" t="s">
        <v>11</v>
      </c>
      <c r="D780">
        <v>10316</v>
      </c>
      <c r="E780">
        <v>5959</v>
      </c>
      <c r="F780">
        <v>5079</v>
      </c>
      <c r="G780">
        <v>94</v>
      </c>
      <c r="H780">
        <v>89</v>
      </c>
      <c r="I780">
        <v>70.81</v>
      </c>
      <c r="J780">
        <v>2236</v>
      </c>
    </row>
    <row r="781" spans="1:10" x14ac:dyDescent="0.35">
      <c r="A781" s="1">
        <v>45155</v>
      </c>
      <c r="B781" t="s">
        <v>16</v>
      </c>
      <c r="C781" t="s">
        <v>12</v>
      </c>
      <c r="D781">
        <v>3222</v>
      </c>
      <c r="E781">
        <v>1608</v>
      </c>
      <c r="F781">
        <v>1310</v>
      </c>
      <c r="G781">
        <v>17</v>
      </c>
      <c r="H781">
        <v>132</v>
      </c>
      <c r="I781">
        <v>65.64</v>
      </c>
      <c r="J781">
        <v>795</v>
      </c>
    </row>
    <row r="782" spans="1:10" x14ac:dyDescent="0.35">
      <c r="A782" s="1">
        <v>45156</v>
      </c>
      <c r="B782" t="s">
        <v>10</v>
      </c>
      <c r="C782" t="s">
        <v>11</v>
      </c>
      <c r="D782">
        <v>13319</v>
      </c>
      <c r="E782">
        <v>6485</v>
      </c>
      <c r="F782">
        <v>4405</v>
      </c>
      <c r="G782">
        <v>83</v>
      </c>
      <c r="H782">
        <v>131</v>
      </c>
      <c r="I782">
        <v>161.99</v>
      </c>
      <c r="J782">
        <v>1345</v>
      </c>
    </row>
    <row r="783" spans="1:10" x14ac:dyDescent="0.35">
      <c r="A783" s="1">
        <v>45156</v>
      </c>
      <c r="B783" t="s">
        <v>10</v>
      </c>
      <c r="C783" t="s">
        <v>12</v>
      </c>
      <c r="D783">
        <v>8447</v>
      </c>
      <c r="E783">
        <v>8006</v>
      </c>
      <c r="F783">
        <v>4737</v>
      </c>
      <c r="G783">
        <v>86</v>
      </c>
      <c r="H783">
        <v>50</v>
      </c>
      <c r="I783">
        <v>84.51</v>
      </c>
      <c r="J783">
        <v>2992</v>
      </c>
    </row>
    <row r="784" spans="1:10" x14ac:dyDescent="0.35">
      <c r="A784" s="1">
        <v>45156</v>
      </c>
      <c r="B784" t="s">
        <v>13</v>
      </c>
      <c r="C784" t="s">
        <v>11</v>
      </c>
      <c r="D784">
        <v>9862</v>
      </c>
      <c r="E784">
        <v>9024</v>
      </c>
      <c r="F784">
        <v>4279</v>
      </c>
      <c r="G784">
        <v>82</v>
      </c>
      <c r="H784">
        <v>36</v>
      </c>
      <c r="I784">
        <v>165.33</v>
      </c>
      <c r="J784">
        <v>2577</v>
      </c>
    </row>
    <row r="785" spans="1:10" x14ac:dyDescent="0.35">
      <c r="A785" s="1">
        <v>45156</v>
      </c>
      <c r="B785" t="s">
        <v>13</v>
      </c>
      <c r="C785" t="s">
        <v>12</v>
      </c>
      <c r="D785">
        <v>2793</v>
      </c>
      <c r="E785">
        <v>720</v>
      </c>
      <c r="F785">
        <v>1268</v>
      </c>
      <c r="G785">
        <v>10</v>
      </c>
      <c r="H785">
        <v>77</v>
      </c>
      <c r="I785">
        <v>105.17</v>
      </c>
      <c r="J785">
        <v>726</v>
      </c>
    </row>
    <row r="786" spans="1:10" x14ac:dyDescent="0.35">
      <c r="A786" s="1">
        <v>45156</v>
      </c>
      <c r="B786" t="s">
        <v>14</v>
      </c>
      <c r="C786" t="s">
        <v>11</v>
      </c>
      <c r="D786">
        <v>9920</v>
      </c>
      <c r="E786">
        <v>7265</v>
      </c>
      <c r="F786">
        <v>5141</v>
      </c>
      <c r="G786">
        <v>100</v>
      </c>
      <c r="H786">
        <v>82</v>
      </c>
      <c r="I786">
        <v>24.41</v>
      </c>
      <c r="J786">
        <v>3554</v>
      </c>
    </row>
    <row r="787" spans="1:10" x14ac:dyDescent="0.35">
      <c r="A787" s="1">
        <v>45156</v>
      </c>
      <c r="B787" t="s">
        <v>14</v>
      </c>
      <c r="C787" t="s">
        <v>12</v>
      </c>
      <c r="D787">
        <v>7487</v>
      </c>
      <c r="E787">
        <v>3935</v>
      </c>
      <c r="F787">
        <v>3426</v>
      </c>
      <c r="G787">
        <v>25</v>
      </c>
      <c r="H787">
        <v>38</v>
      </c>
      <c r="I787">
        <v>68.91</v>
      </c>
      <c r="J787">
        <v>1197</v>
      </c>
    </row>
    <row r="788" spans="1:10" x14ac:dyDescent="0.35">
      <c r="A788" s="1">
        <v>45156</v>
      </c>
      <c r="B788" t="s">
        <v>15</v>
      </c>
      <c r="C788" t="s">
        <v>11</v>
      </c>
      <c r="D788">
        <v>3058</v>
      </c>
      <c r="E788">
        <v>1359</v>
      </c>
      <c r="F788">
        <v>1804</v>
      </c>
      <c r="G788">
        <v>23</v>
      </c>
      <c r="H788">
        <v>96</v>
      </c>
      <c r="I788">
        <v>133.08000000000001</v>
      </c>
      <c r="J788">
        <v>899</v>
      </c>
    </row>
    <row r="789" spans="1:10" x14ac:dyDescent="0.35">
      <c r="A789" s="1">
        <v>45156</v>
      </c>
      <c r="B789" t="s">
        <v>15</v>
      </c>
      <c r="C789" t="s">
        <v>12</v>
      </c>
      <c r="D789">
        <v>2887</v>
      </c>
      <c r="E789">
        <v>2096</v>
      </c>
      <c r="F789">
        <v>1171</v>
      </c>
      <c r="G789">
        <v>15</v>
      </c>
      <c r="H789">
        <v>749</v>
      </c>
      <c r="I789">
        <v>140.27000000000001</v>
      </c>
      <c r="J789">
        <v>418</v>
      </c>
    </row>
    <row r="790" spans="1:10" x14ac:dyDescent="0.35">
      <c r="A790" s="1">
        <v>45156</v>
      </c>
      <c r="B790" t="s">
        <v>16</v>
      </c>
      <c r="C790" t="s">
        <v>11</v>
      </c>
      <c r="D790">
        <v>4782</v>
      </c>
      <c r="E790">
        <v>4462</v>
      </c>
      <c r="F790">
        <v>1699</v>
      </c>
      <c r="G790">
        <v>55</v>
      </c>
      <c r="H790">
        <v>134</v>
      </c>
      <c r="I790">
        <v>68.180000000000007</v>
      </c>
      <c r="J790">
        <v>590</v>
      </c>
    </row>
    <row r="791" spans="1:10" x14ac:dyDescent="0.35">
      <c r="A791" s="1">
        <v>45156</v>
      </c>
      <c r="B791" t="s">
        <v>16</v>
      </c>
      <c r="C791" t="s">
        <v>12</v>
      </c>
      <c r="D791">
        <v>2226</v>
      </c>
      <c r="E791">
        <v>1786</v>
      </c>
      <c r="F791">
        <v>1225</v>
      </c>
      <c r="G791">
        <v>24</v>
      </c>
      <c r="H791">
        <v>729</v>
      </c>
      <c r="I791">
        <v>171.8</v>
      </c>
      <c r="J791">
        <v>398</v>
      </c>
    </row>
    <row r="792" spans="1:10" x14ac:dyDescent="0.35">
      <c r="A792" s="1">
        <v>45157</v>
      </c>
      <c r="B792" t="s">
        <v>10</v>
      </c>
      <c r="C792" t="s">
        <v>11</v>
      </c>
      <c r="D792">
        <v>5612</v>
      </c>
      <c r="E792">
        <v>3933</v>
      </c>
      <c r="F792">
        <v>3296</v>
      </c>
      <c r="G792">
        <v>34</v>
      </c>
      <c r="H792">
        <v>64</v>
      </c>
      <c r="I792">
        <v>132.52000000000001</v>
      </c>
      <c r="J792">
        <v>1038</v>
      </c>
    </row>
    <row r="793" spans="1:10" x14ac:dyDescent="0.35">
      <c r="A793" s="1">
        <v>45157</v>
      </c>
      <c r="B793" t="s">
        <v>10</v>
      </c>
      <c r="C793" t="s">
        <v>12</v>
      </c>
      <c r="D793">
        <v>8728</v>
      </c>
      <c r="E793">
        <v>3462</v>
      </c>
      <c r="F793">
        <v>2744</v>
      </c>
      <c r="G793">
        <v>42</v>
      </c>
      <c r="H793">
        <v>80</v>
      </c>
      <c r="I793">
        <v>176.05</v>
      </c>
      <c r="J793">
        <v>1420</v>
      </c>
    </row>
    <row r="794" spans="1:10" x14ac:dyDescent="0.35">
      <c r="A794" s="1">
        <v>45157</v>
      </c>
      <c r="B794" t="s">
        <v>13</v>
      </c>
      <c r="C794" t="s">
        <v>11</v>
      </c>
      <c r="D794">
        <v>3904</v>
      </c>
      <c r="E794">
        <v>3500</v>
      </c>
      <c r="F794">
        <v>1928</v>
      </c>
      <c r="G794">
        <v>23</v>
      </c>
      <c r="H794">
        <v>31</v>
      </c>
      <c r="I794">
        <v>72.88</v>
      </c>
      <c r="J794">
        <v>780</v>
      </c>
    </row>
    <row r="795" spans="1:10" x14ac:dyDescent="0.35">
      <c r="A795" s="1">
        <v>45157</v>
      </c>
      <c r="B795" t="s">
        <v>13</v>
      </c>
      <c r="C795" t="s">
        <v>12</v>
      </c>
      <c r="D795">
        <v>6378</v>
      </c>
      <c r="E795">
        <v>4996</v>
      </c>
      <c r="F795">
        <v>2770</v>
      </c>
      <c r="G795">
        <v>43</v>
      </c>
      <c r="H795">
        <v>81</v>
      </c>
      <c r="I795">
        <v>164.51</v>
      </c>
      <c r="J795">
        <v>1337</v>
      </c>
    </row>
    <row r="796" spans="1:10" x14ac:dyDescent="0.35">
      <c r="A796" s="1">
        <v>45157</v>
      </c>
      <c r="B796" t="s">
        <v>14</v>
      </c>
      <c r="C796" t="s">
        <v>11</v>
      </c>
      <c r="D796">
        <v>9250</v>
      </c>
      <c r="E796">
        <v>5980</v>
      </c>
      <c r="F796">
        <v>5315</v>
      </c>
      <c r="G796">
        <v>47</v>
      </c>
      <c r="H796">
        <v>55</v>
      </c>
      <c r="I796">
        <v>171.3</v>
      </c>
      <c r="J796">
        <v>2230</v>
      </c>
    </row>
    <row r="797" spans="1:10" x14ac:dyDescent="0.35">
      <c r="A797" s="1">
        <v>45157</v>
      </c>
      <c r="B797" t="s">
        <v>14</v>
      </c>
      <c r="C797" t="s">
        <v>12</v>
      </c>
      <c r="D797">
        <v>4868</v>
      </c>
      <c r="E797">
        <v>4347</v>
      </c>
      <c r="F797">
        <v>2874</v>
      </c>
      <c r="G797">
        <v>30</v>
      </c>
      <c r="H797">
        <v>51</v>
      </c>
      <c r="I797">
        <v>100.95</v>
      </c>
      <c r="J797">
        <v>1448</v>
      </c>
    </row>
    <row r="798" spans="1:10" x14ac:dyDescent="0.35">
      <c r="A798" s="1">
        <v>45157</v>
      </c>
      <c r="B798" t="s">
        <v>15</v>
      </c>
      <c r="C798" t="s">
        <v>11</v>
      </c>
      <c r="D798">
        <v>2478</v>
      </c>
      <c r="E798">
        <v>930</v>
      </c>
      <c r="F798">
        <v>2025</v>
      </c>
      <c r="G798">
        <v>41</v>
      </c>
      <c r="H798">
        <v>627</v>
      </c>
      <c r="I798">
        <v>99.69</v>
      </c>
      <c r="J798">
        <v>296</v>
      </c>
    </row>
    <row r="799" spans="1:10" x14ac:dyDescent="0.35">
      <c r="A799" s="1">
        <v>45157</v>
      </c>
      <c r="B799" t="s">
        <v>15</v>
      </c>
      <c r="C799" t="s">
        <v>12</v>
      </c>
      <c r="D799">
        <v>3318</v>
      </c>
      <c r="E799">
        <v>1134</v>
      </c>
      <c r="F799">
        <v>1636</v>
      </c>
      <c r="G799">
        <v>40</v>
      </c>
      <c r="H799">
        <v>53</v>
      </c>
      <c r="I799">
        <v>29.32</v>
      </c>
      <c r="J799">
        <v>636</v>
      </c>
    </row>
    <row r="800" spans="1:10" x14ac:dyDescent="0.35">
      <c r="A800" s="1">
        <v>45157</v>
      </c>
      <c r="B800" t="s">
        <v>16</v>
      </c>
      <c r="C800" t="s">
        <v>11</v>
      </c>
      <c r="D800">
        <v>9559</v>
      </c>
      <c r="E800">
        <v>7947</v>
      </c>
      <c r="F800">
        <v>4748</v>
      </c>
      <c r="G800">
        <v>72</v>
      </c>
      <c r="H800">
        <v>58</v>
      </c>
      <c r="I800">
        <v>24.02</v>
      </c>
      <c r="J800">
        <v>2572</v>
      </c>
    </row>
    <row r="801" spans="1:10" x14ac:dyDescent="0.35">
      <c r="A801" s="1">
        <v>45157</v>
      </c>
      <c r="B801" t="s">
        <v>16</v>
      </c>
      <c r="C801" t="s">
        <v>12</v>
      </c>
      <c r="D801">
        <v>2633</v>
      </c>
      <c r="E801">
        <v>1136</v>
      </c>
      <c r="F801">
        <v>1150</v>
      </c>
      <c r="G801">
        <v>39</v>
      </c>
      <c r="H801">
        <v>69</v>
      </c>
      <c r="I801">
        <v>85.09</v>
      </c>
      <c r="J801">
        <v>806</v>
      </c>
    </row>
    <row r="802" spans="1:10" x14ac:dyDescent="0.35">
      <c r="A802" s="1">
        <v>45158</v>
      </c>
      <c r="B802" t="s">
        <v>10</v>
      </c>
      <c r="C802" t="s">
        <v>11</v>
      </c>
      <c r="D802">
        <v>10534</v>
      </c>
      <c r="E802">
        <v>3768</v>
      </c>
      <c r="F802">
        <v>5291</v>
      </c>
      <c r="G802">
        <v>49</v>
      </c>
      <c r="H802">
        <v>82</v>
      </c>
      <c r="I802">
        <v>36.75</v>
      </c>
      <c r="J802">
        <v>3920</v>
      </c>
    </row>
    <row r="803" spans="1:10" x14ac:dyDescent="0.35">
      <c r="A803" s="1">
        <v>45158</v>
      </c>
      <c r="B803" t="s">
        <v>10</v>
      </c>
      <c r="C803" t="s">
        <v>12</v>
      </c>
      <c r="D803">
        <v>9117</v>
      </c>
      <c r="E803">
        <v>3993</v>
      </c>
      <c r="F803">
        <v>5079</v>
      </c>
      <c r="G803">
        <v>30</v>
      </c>
      <c r="H803">
        <v>77</v>
      </c>
      <c r="I803">
        <v>85.97</v>
      </c>
      <c r="J803">
        <v>3391</v>
      </c>
    </row>
    <row r="804" spans="1:10" x14ac:dyDescent="0.35">
      <c r="A804" s="1">
        <v>45158</v>
      </c>
      <c r="B804" t="s">
        <v>13</v>
      </c>
      <c r="C804" t="s">
        <v>11</v>
      </c>
      <c r="D804">
        <v>7756</v>
      </c>
      <c r="E804">
        <v>2298</v>
      </c>
      <c r="F804">
        <v>2555</v>
      </c>
      <c r="G804">
        <v>27</v>
      </c>
      <c r="H804">
        <v>101</v>
      </c>
      <c r="I804">
        <v>159.33000000000001</v>
      </c>
      <c r="J804">
        <v>1283</v>
      </c>
    </row>
    <row r="805" spans="1:10" x14ac:dyDescent="0.35">
      <c r="A805" s="1">
        <v>45158</v>
      </c>
      <c r="B805" t="s">
        <v>13</v>
      </c>
      <c r="C805" t="s">
        <v>12</v>
      </c>
      <c r="D805">
        <v>3488</v>
      </c>
      <c r="E805">
        <v>2404</v>
      </c>
      <c r="F805">
        <v>1963</v>
      </c>
      <c r="G805">
        <v>25</v>
      </c>
      <c r="H805">
        <v>85</v>
      </c>
      <c r="I805">
        <v>133.97</v>
      </c>
      <c r="J805">
        <v>828</v>
      </c>
    </row>
    <row r="806" spans="1:10" x14ac:dyDescent="0.35">
      <c r="A806" s="1">
        <v>45158</v>
      </c>
      <c r="B806" t="s">
        <v>14</v>
      </c>
      <c r="C806" t="s">
        <v>11</v>
      </c>
      <c r="D806">
        <v>6920</v>
      </c>
      <c r="E806">
        <v>5244</v>
      </c>
      <c r="F806">
        <v>2855</v>
      </c>
      <c r="G806">
        <v>28</v>
      </c>
      <c r="H806">
        <v>33</v>
      </c>
      <c r="I806">
        <v>163.19</v>
      </c>
      <c r="J806">
        <v>1662</v>
      </c>
    </row>
    <row r="807" spans="1:10" x14ac:dyDescent="0.35">
      <c r="A807" s="1">
        <v>45158</v>
      </c>
      <c r="B807" t="s">
        <v>14</v>
      </c>
      <c r="C807" t="s">
        <v>12</v>
      </c>
      <c r="D807">
        <v>2030</v>
      </c>
      <c r="E807">
        <v>1440</v>
      </c>
      <c r="F807">
        <v>2185</v>
      </c>
      <c r="G807">
        <v>14</v>
      </c>
      <c r="H807">
        <v>669</v>
      </c>
      <c r="I807">
        <v>165.58</v>
      </c>
      <c r="J807">
        <v>338</v>
      </c>
    </row>
    <row r="808" spans="1:10" x14ac:dyDescent="0.35">
      <c r="A808" s="1">
        <v>45158</v>
      </c>
      <c r="B808" t="s">
        <v>15</v>
      </c>
      <c r="C808" t="s">
        <v>11</v>
      </c>
      <c r="D808">
        <v>4424</v>
      </c>
      <c r="E808">
        <v>3673</v>
      </c>
      <c r="F808">
        <v>1608</v>
      </c>
      <c r="G808">
        <v>61</v>
      </c>
      <c r="H808">
        <v>57</v>
      </c>
      <c r="I808">
        <v>54.07</v>
      </c>
      <c r="J808">
        <v>674</v>
      </c>
    </row>
    <row r="809" spans="1:10" x14ac:dyDescent="0.35">
      <c r="A809" s="1">
        <v>45158</v>
      </c>
      <c r="B809" t="s">
        <v>15</v>
      </c>
      <c r="C809" t="s">
        <v>12</v>
      </c>
      <c r="D809">
        <v>1923</v>
      </c>
      <c r="E809">
        <v>1158</v>
      </c>
      <c r="F809">
        <v>1868</v>
      </c>
      <c r="G809">
        <v>17</v>
      </c>
      <c r="H809">
        <v>816</v>
      </c>
      <c r="I809">
        <v>136.16999999999999</v>
      </c>
      <c r="J809">
        <v>485</v>
      </c>
    </row>
    <row r="810" spans="1:10" x14ac:dyDescent="0.35">
      <c r="A810" s="1">
        <v>45158</v>
      </c>
      <c r="B810" t="s">
        <v>16</v>
      </c>
      <c r="C810" t="s">
        <v>11</v>
      </c>
      <c r="D810">
        <v>5804</v>
      </c>
      <c r="E810">
        <v>1812</v>
      </c>
      <c r="F810">
        <v>3162</v>
      </c>
      <c r="G810">
        <v>15</v>
      </c>
      <c r="H810">
        <v>43</v>
      </c>
      <c r="I810">
        <v>176.93</v>
      </c>
      <c r="J810">
        <v>1487</v>
      </c>
    </row>
    <row r="811" spans="1:10" x14ac:dyDescent="0.35">
      <c r="A811" s="1">
        <v>45158</v>
      </c>
      <c r="B811" t="s">
        <v>16</v>
      </c>
      <c r="C811" t="s">
        <v>12</v>
      </c>
      <c r="D811">
        <v>7087</v>
      </c>
      <c r="E811">
        <v>4326</v>
      </c>
      <c r="F811">
        <v>4052</v>
      </c>
      <c r="G811">
        <v>57</v>
      </c>
      <c r="H811">
        <v>92</v>
      </c>
      <c r="I811">
        <v>26.56</v>
      </c>
      <c r="J811">
        <v>1467</v>
      </c>
    </row>
    <row r="812" spans="1:10" x14ac:dyDescent="0.35">
      <c r="A812" s="1">
        <v>45159</v>
      </c>
      <c r="B812" t="s">
        <v>10</v>
      </c>
      <c r="C812" t="s">
        <v>11</v>
      </c>
      <c r="D812">
        <v>5227</v>
      </c>
      <c r="E812">
        <v>3730</v>
      </c>
      <c r="F812">
        <v>2802</v>
      </c>
      <c r="G812">
        <v>50</v>
      </c>
      <c r="H812">
        <v>30</v>
      </c>
      <c r="I812">
        <v>88.57</v>
      </c>
      <c r="J812">
        <v>1148</v>
      </c>
    </row>
    <row r="813" spans="1:10" x14ac:dyDescent="0.35">
      <c r="A813" s="1">
        <v>45159</v>
      </c>
      <c r="B813" t="s">
        <v>10</v>
      </c>
      <c r="C813" t="s">
        <v>12</v>
      </c>
      <c r="D813">
        <v>3812</v>
      </c>
      <c r="E813">
        <v>2923</v>
      </c>
      <c r="F813">
        <v>1557</v>
      </c>
      <c r="G813">
        <v>21</v>
      </c>
      <c r="H813">
        <v>100</v>
      </c>
      <c r="I813">
        <v>103.24</v>
      </c>
      <c r="J813">
        <v>913</v>
      </c>
    </row>
    <row r="814" spans="1:10" x14ac:dyDescent="0.35">
      <c r="A814" s="1">
        <v>45159</v>
      </c>
      <c r="B814" t="s">
        <v>13</v>
      </c>
      <c r="C814" t="s">
        <v>11</v>
      </c>
      <c r="D814">
        <v>5695</v>
      </c>
      <c r="E814">
        <v>1508</v>
      </c>
      <c r="F814">
        <v>3176</v>
      </c>
      <c r="G814">
        <v>19</v>
      </c>
      <c r="H814">
        <v>48</v>
      </c>
      <c r="I814">
        <v>161.29</v>
      </c>
      <c r="J814">
        <v>1446</v>
      </c>
    </row>
    <row r="815" spans="1:10" x14ac:dyDescent="0.35">
      <c r="A815" s="1">
        <v>45159</v>
      </c>
      <c r="B815" t="s">
        <v>13</v>
      </c>
      <c r="C815" t="s">
        <v>12</v>
      </c>
      <c r="D815">
        <v>2813</v>
      </c>
      <c r="E815">
        <v>2123</v>
      </c>
      <c r="F815">
        <v>1612</v>
      </c>
      <c r="G815">
        <v>17</v>
      </c>
      <c r="H815">
        <v>58</v>
      </c>
      <c r="I815">
        <v>121.21</v>
      </c>
      <c r="J815">
        <v>596</v>
      </c>
    </row>
    <row r="816" spans="1:10" x14ac:dyDescent="0.35">
      <c r="A816" s="1">
        <v>45159</v>
      </c>
      <c r="B816" t="s">
        <v>14</v>
      </c>
      <c r="C816" t="s">
        <v>11</v>
      </c>
      <c r="D816">
        <v>10174</v>
      </c>
      <c r="E816">
        <v>4174</v>
      </c>
      <c r="F816">
        <v>5298</v>
      </c>
      <c r="G816">
        <v>31</v>
      </c>
      <c r="H816">
        <v>49</v>
      </c>
      <c r="I816">
        <v>173.25</v>
      </c>
      <c r="J816">
        <v>2352</v>
      </c>
    </row>
    <row r="817" spans="1:10" x14ac:dyDescent="0.35">
      <c r="A817" s="1">
        <v>45159</v>
      </c>
      <c r="B817" t="s">
        <v>14</v>
      </c>
      <c r="C817" t="s">
        <v>12</v>
      </c>
      <c r="D817">
        <v>4913</v>
      </c>
      <c r="E817">
        <v>4191</v>
      </c>
      <c r="F817">
        <v>2073</v>
      </c>
      <c r="G817">
        <v>63</v>
      </c>
      <c r="H817">
        <v>126</v>
      </c>
      <c r="I817">
        <v>171.01</v>
      </c>
      <c r="J817">
        <v>1333</v>
      </c>
    </row>
    <row r="818" spans="1:10" x14ac:dyDescent="0.35">
      <c r="A818" s="1">
        <v>45159</v>
      </c>
      <c r="B818" t="s">
        <v>15</v>
      </c>
      <c r="C818" t="s">
        <v>11</v>
      </c>
      <c r="D818">
        <v>3948</v>
      </c>
      <c r="E818">
        <v>2615</v>
      </c>
      <c r="F818">
        <v>1798</v>
      </c>
      <c r="G818">
        <v>27</v>
      </c>
      <c r="H818">
        <v>80</v>
      </c>
      <c r="I818">
        <v>39.01</v>
      </c>
      <c r="J818">
        <v>545</v>
      </c>
    </row>
    <row r="819" spans="1:10" x14ac:dyDescent="0.35">
      <c r="A819" s="1">
        <v>45159</v>
      </c>
      <c r="B819" t="s">
        <v>15</v>
      </c>
      <c r="C819" t="s">
        <v>12</v>
      </c>
      <c r="D819">
        <v>3503</v>
      </c>
      <c r="E819">
        <v>2688</v>
      </c>
      <c r="F819">
        <v>1906</v>
      </c>
      <c r="G819">
        <v>21</v>
      </c>
      <c r="H819">
        <v>93</v>
      </c>
      <c r="I819">
        <v>87.63</v>
      </c>
      <c r="J819">
        <v>1076</v>
      </c>
    </row>
    <row r="820" spans="1:10" x14ac:dyDescent="0.35">
      <c r="A820" s="1">
        <v>45159</v>
      </c>
      <c r="B820" t="s">
        <v>16</v>
      </c>
      <c r="C820" t="s">
        <v>11</v>
      </c>
      <c r="D820">
        <v>9060</v>
      </c>
      <c r="E820">
        <v>7588</v>
      </c>
      <c r="F820">
        <v>3420</v>
      </c>
      <c r="G820">
        <v>75</v>
      </c>
      <c r="H820">
        <v>45</v>
      </c>
      <c r="I820">
        <v>23.73</v>
      </c>
      <c r="J820">
        <v>2360</v>
      </c>
    </row>
    <row r="821" spans="1:10" x14ac:dyDescent="0.35">
      <c r="A821" s="1">
        <v>45159</v>
      </c>
      <c r="B821" t="s">
        <v>16</v>
      </c>
      <c r="C821" t="s">
        <v>12</v>
      </c>
      <c r="D821">
        <v>6922</v>
      </c>
      <c r="E821">
        <v>2679</v>
      </c>
      <c r="F821">
        <v>2822</v>
      </c>
      <c r="G821">
        <v>33</v>
      </c>
      <c r="H821">
        <v>136</v>
      </c>
      <c r="I821">
        <v>108.37</v>
      </c>
      <c r="J821">
        <v>2111</v>
      </c>
    </row>
    <row r="822" spans="1:10" x14ac:dyDescent="0.35">
      <c r="A822" s="1">
        <v>45160</v>
      </c>
      <c r="B822" t="s">
        <v>10</v>
      </c>
      <c r="C822" t="s">
        <v>11</v>
      </c>
      <c r="D822">
        <v>5753</v>
      </c>
      <c r="E822">
        <v>4980</v>
      </c>
      <c r="F822">
        <v>1727</v>
      </c>
      <c r="G822">
        <v>77</v>
      </c>
      <c r="H822">
        <v>67</v>
      </c>
      <c r="I822">
        <v>28.48</v>
      </c>
      <c r="J822">
        <v>980</v>
      </c>
    </row>
    <row r="823" spans="1:10" x14ac:dyDescent="0.35">
      <c r="A823" s="1">
        <v>45160</v>
      </c>
      <c r="B823" t="s">
        <v>10</v>
      </c>
      <c r="C823" t="s">
        <v>12</v>
      </c>
      <c r="D823">
        <v>5725</v>
      </c>
      <c r="E823">
        <v>2387</v>
      </c>
      <c r="F823">
        <v>2293</v>
      </c>
      <c r="G823">
        <v>37</v>
      </c>
      <c r="H823">
        <v>119</v>
      </c>
      <c r="I823">
        <v>120.12</v>
      </c>
      <c r="J823">
        <v>1671</v>
      </c>
    </row>
    <row r="824" spans="1:10" x14ac:dyDescent="0.35">
      <c r="A824" s="1">
        <v>45160</v>
      </c>
      <c r="B824" t="s">
        <v>13</v>
      </c>
      <c r="C824" t="s">
        <v>11</v>
      </c>
      <c r="D824">
        <v>6409</v>
      </c>
      <c r="E824">
        <v>2135</v>
      </c>
      <c r="F824">
        <v>2113</v>
      </c>
      <c r="G824">
        <v>20</v>
      </c>
      <c r="H824">
        <v>34</v>
      </c>
      <c r="I824">
        <v>51.38</v>
      </c>
      <c r="J824">
        <v>1226</v>
      </c>
    </row>
    <row r="825" spans="1:10" x14ac:dyDescent="0.35">
      <c r="A825" s="1">
        <v>45160</v>
      </c>
      <c r="B825" t="s">
        <v>13</v>
      </c>
      <c r="C825" t="s">
        <v>12</v>
      </c>
      <c r="D825">
        <v>2031</v>
      </c>
      <c r="E825">
        <v>1172</v>
      </c>
      <c r="F825">
        <v>1178</v>
      </c>
      <c r="G825">
        <v>18</v>
      </c>
      <c r="H825">
        <v>88</v>
      </c>
      <c r="I825">
        <v>28.9</v>
      </c>
      <c r="J825">
        <v>848</v>
      </c>
    </row>
    <row r="826" spans="1:10" x14ac:dyDescent="0.35">
      <c r="A826" s="1">
        <v>45160</v>
      </c>
      <c r="B826" t="s">
        <v>14</v>
      </c>
      <c r="C826" t="s">
        <v>11</v>
      </c>
      <c r="D826">
        <v>9523</v>
      </c>
      <c r="E826">
        <v>8148</v>
      </c>
      <c r="F826">
        <v>4660</v>
      </c>
      <c r="G826">
        <v>75</v>
      </c>
      <c r="H826">
        <v>51</v>
      </c>
      <c r="I826">
        <v>43.84</v>
      </c>
      <c r="J826">
        <v>2897</v>
      </c>
    </row>
    <row r="827" spans="1:10" x14ac:dyDescent="0.35">
      <c r="A827" s="1">
        <v>45160</v>
      </c>
      <c r="B827" t="s">
        <v>14</v>
      </c>
      <c r="C827" t="s">
        <v>12</v>
      </c>
      <c r="D827">
        <v>3691</v>
      </c>
      <c r="E827">
        <v>3449</v>
      </c>
      <c r="F827">
        <v>1638</v>
      </c>
      <c r="G827">
        <v>29</v>
      </c>
      <c r="H827">
        <v>51</v>
      </c>
      <c r="I827">
        <v>162.26</v>
      </c>
      <c r="J827">
        <v>1209</v>
      </c>
    </row>
    <row r="828" spans="1:10" x14ac:dyDescent="0.35">
      <c r="A828" s="1">
        <v>45160</v>
      </c>
      <c r="B828" t="s">
        <v>15</v>
      </c>
      <c r="C828" t="s">
        <v>11</v>
      </c>
      <c r="D828">
        <v>4057</v>
      </c>
      <c r="E828">
        <v>2461</v>
      </c>
      <c r="F828">
        <v>1712</v>
      </c>
      <c r="G828">
        <v>13</v>
      </c>
      <c r="H828">
        <v>71</v>
      </c>
      <c r="I828">
        <v>127.98</v>
      </c>
      <c r="J828">
        <v>684</v>
      </c>
    </row>
    <row r="829" spans="1:10" x14ac:dyDescent="0.35">
      <c r="A829" s="1">
        <v>45160</v>
      </c>
      <c r="B829" t="s">
        <v>15</v>
      </c>
      <c r="C829" t="s">
        <v>12</v>
      </c>
      <c r="D829">
        <v>3697</v>
      </c>
      <c r="E829">
        <v>3138</v>
      </c>
      <c r="F829">
        <v>1155</v>
      </c>
      <c r="G829">
        <v>39</v>
      </c>
      <c r="H829">
        <v>785</v>
      </c>
      <c r="I829">
        <v>160.1</v>
      </c>
      <c r="J829">
        <v>454</v>
      </c>
    </row>
    <row r="830" spans="1:10" x14ac:dyDescent="0.35">
      <c r="A830" s="1">
        <v>45160</v>
      </c>
      <c r="B830" t="s">
        <v>16</v>
      </c>
      <c r="C830" t="s">
        <v>11</v>
      </c>
      <c r="D830">
        <v>11102</v>
      </c>
      <c r="E830">
        <v>8279</v>
      </c>
      <c r="F830">
        <v>4226</v>
      </c>
      <c r="G830">
        <v>70</v>
      </c>
      <c r="H830">
        <v>40</v>
      </c>
      <c r="I830">
        <v>39.19</v>
      </c>
      <c r="J830">
        <v>3165</v>
      </c>
    </row>
    <row r="831" spans="1:10" x14ac:dyDescent="0.35">
      <c r="A831" s="1">
        <v>45160</v>
      </c>
      <c r="B831" t="s">
        <v>16</v>
      </c>
      <c r="C831" t="s">
        <v>12</v>
      </c>
      <c r="D831">
        <v>5764</v>
      </c>
      <c r="E831">
        <v>4081</v>
      </c>
      <c r="F831">
        <v>1784</v>
      </c>
      <c r="G831">
        <v>56</v>
      </c>
      <c r="H831">
        <v>39</v>
      </c>
      <c r="I831">
        <v>117.92</v>
      </c>
      <c r="J831">
        <v>633</v>
      </c>
    </row>
    <row r="832" spans="1:10" x14ac:dyDescent="0.35">
      <c r="A832" s="1">
        <v>45161</v>
      </c>
      <c r="B832" t="s">
        <v>10</v>
      </c>
      <c r="C832" t="s">
        <v>11</v>
      </c>
      <c r="D832">
        <v>16614</v>
      </c>
      <c r="E832">
        <v>13687</v>
      </c>
      <c r="F832">
        <v>9705</v>
      </c>
      <c r="G832">
        <v>132</v>
      </c>
      <c r="H832">
        <v>82</v>
      </c>
      <c r="I832">
        <v>28.31</v>
      </c>
      <c r="J832">
        <v>4686</v>
      </c>
    </row>
    <row r="833" spans="1:10" x14ac:dyDescent="0.35">
      <c r="A833" s="1">
        <v>45161</v>
      </c>
      <c r="B833" t="s">
        <v>10</v>
      </c>
      <c r="C833" t="s">
        <v>12</v>
      </c>
      <c r="D833">
        <v>3624</v>
      </c>
      <c r="E833">
        <v>3238</v>
      </c>
      <c r="F833">
        <v>2105</v>
      </c>
      <c r="G833">
        <v>19</v>
      </c>
      <c r="H833">
        <v>42</v>
      </c>
      <c r="I833">
        <v>104.43</v>
      </c>
      <c r="J833">
        <v>1414</v>
      </c>
    </row>
    <row r="834" spans="1:10" x14ac:dyDescent="0.35">
      <c r="A834" s="1">
        <v>45161</v>
      </c>
      <c r="B834" t="s">
        <v>13</v>
      </c>
      <c r="C834" t="s">
        <v>11</v>
      </c>
      <c r="D834">
        <v>4357</v>
      </c>
      <c r="E834">
        <v>3712</v>
      </c>
      <c r="F834">
        <v>2552</v>
      </c>
      <c r="G834">
        <v>31</v>
      </c>
      <c r="H834">
        <v>38</v>
      </c>
      <c r="I834">
        <v>174.21</v>
      </c>
      <c r="J834">
        <v>823</v>
      </c>
    </row>
    <row r="835" spans="1:10" x14ac:dyDescent="0.35">
      <c r="A835" s="1">
        <v>45161</v>
      </c>
      <c r="B835" t="s">
        <v>13</v>
      </c>
      <c r="C835" t="s">
        <v>12</v>
      </c>
      <c r="D835">
        <v>4626</v>
      </c>
      <c r="E835">
        <v>3259</v>
      </c>
      <c r="F835">
        <v>2721</v>
      </c>
      <c r="G835">
        <v>17</v>
      </c>
      <c r="H835">
        <v>92</v>
      </c>
      <c r="I835">
        <v>130.72</v>
      </c>
      <c r="J835">
        <v>871</v>
      </c>
    </row>
    <row r="836" spans="1:10" x14ac:dyDescent="0.35">
      <c r="A836" s="1">
        <v>45161</v>
      </c>
      <c r="B836" t="s">
        <v>14</v>
      </c>
      <c r="C836" t="s">
        <v>11</v>
      </c>
      <c r="D836">
        <v>10696</v>
      </c>
      <c r="E836">
        <v>9746</v>
      </c>
      <c r="F836">
        <v>5848</v>
      </c>
      <c r="G836">
        <v>124</v>
      </c>
      <c r="H836">
        <v>54</v>
      </c>
      <c r="I836">
        <v>132.76</v>
      </c>
      <c r="J836">
        <v>1789</v>
      </c>
    </row>
    <row r="837" spans="1:10" x14ac:dyDescent="0.35">
      <c r="A837" s="1">
        <v>45161</v>
      </c>
      <c r="B837" t="s">
        <v>14</v>
      </c>
      <c r="C837" t="s">
        <v>12</v>
      </c>
      <c r="D837">
        <v>3653</v>
      </c>
      <c r="E837">
        <v>2632</v>
      </c>
      <c r="F837">
        <v>1935</v>
      </c>
      <c r="G837">
        <v>17</v>
      </c>
      <c r="H837">
        <v>34</v>
      </c>
      <c r="I837">
        <v>121.96</v>
      </c>
      <c r="J837">
        <v>763</v>
      </c>
    </row>
    <row r="838" spans="1:10" x14ac:dyDescent="0.35">
      <c r="A838" s="1">
        <v>45161</v>
      </c>
      <c r="B838" t="s">
        <v>15</v>
      </c>
      <c r="C838" t="s">
        <v>11</v>
      </c>
      <c r="D838">
        <v>1745</v>
      </c>
      <c r="E838">
        <v>1499</v>
      </c>
      <c r="F838">
        <v>2055</v>
      </c>
      <c r="G838">
        <v>11</v>
      </c>
      <c r="H838">
        <v>615</v>
      </c>
      <c r="I838">
        <v>27.03</v>
      </c>
      <c r="J838">
        <v>284</v>
      </c>
    </row>
    <row r="839" spans="1:10" x14ac:dyDescent="0.35">
      <c r="A839" s="1">
        <v>45161</v>
      </c>
      <c r="B839" t="s">
        <v>15</v>
      </c>
      <c r="C839" t="s">
        <v>12</v>
      </c>
      <c r="D839">
        <v>2591</v>
      </c>
      <c r="E839">
        <v>1119</v>
      </c>
      <c r="F839">
        <v>2083</v>
      </c>
      <c r="G839">
        <v>39</v>
      </c>
      <c r="H839">
        <v>67</v>
      </c>
      <c r="I839">
        <v>90.07</v>
      </c>
      <c r="J839">
        <v>505</v>
      </c>
    </row>
    <row r="840" spans="1:10" x14ac:dyDescent="0.35">
      <c r="A840" s="1">
        <v>45161</v>
      </c>
      <c r="B840" t="s">
        <v>16</v>
      </c>
      <c r="C840" t="s">
        <v>11</v>
      </c>
      <c r="D840">
        <v>4069</v>
      </c>
      <c r="E840">
        <v>3514</v>
      </c>
      <c r="F840">
        <v>2037</v>
      </c>
      <c r="G840">
        <v>39</v>
      </c>
      <c r="H840">
        <v>36</v>
      </c>
      <c r="I840">
        <v>155.79</v>
      </c>
      <c r="J840">
        <v>1358</v>
      </c>
    </row>
    <row r="841" spans="1:10" x14ac:dyDescent="0.35">
      <c r="A841" s="1">
        <v>45161</v>
      </c>
      <c r="B841" t="s">
        <v>16</v>
      </c>
      <c r="C841" t="s">
        <v>12</v>
      </c>
      <c r="D841">
        <v>5497</v>
      </c>
      <c r="E841">
        <v>5131</v>
      </c>
      <c r="F841">
        <v>2910</v>
      </c>
      <c r="G841">
        <v>81</v>
      </c>
      <c r="H841">
        <v>39</v>
      </c>
      <c r="I841">
        <v>116.67</v>
      </c>
      <c r="J841">
        <v>976</v>
      </c>
    </row>
    <row r="842" spans="1:10" x14ac:dyDescent="0.35">
      <c r="A842" s="1">
        <v>45162</v>
      </c>
      <c r="B842" t="s">
        <v>10</v>
      </c>
      <c r="C842" t="s">
        <v>11</v>
      </c>
      <c r="D842">
        <v>14345</v>
      </c>
      <c r="E842">
        <v>7120</v>
      </c>
      <c r="F842">
        <v>5309</v>
      </c>
      <c r="G842">
        <v>101</v>
      </c>
      <c r="H842">
        <v>48</v>
      </c>
      <c r="I842">
        <v>140.91999999999999</v>
      </c>
      <c r="J842">
        <v>3120</v>
      </c>
    </row>
    <row r="843" spans="1:10" x14ac:dyDescent="0.35">
      <c r="A843" s="1">
        <v>45162</v>
      </c>
      <c r="B843" t="s">
        <v>10</v>
      </c>
      <c r="C843" t="s">
        <v>12</v>
      </c>
      <c r="D843">
        <v>10959</v>
      </c>
      <c r="E843">
        <v>3630</v>
      </c>
      <c r="F843">
        <v>5239</v>
      </c>
      <c r="G843">
        <v>55</v>
      </c>
      <c r="H843">
        <v>77</v>
      </c>
      <c r="I843">
        <v>140.21</v>
      </c>
      <c r="J843">
        <v>1871</v>
      </c>
    </row>
    <row r="844" spans="1:10" x14ac:dyDescent="0.35">
      <c r="A844" s="1">
        <v>45162</v>
      </c>
      <c r="B844" t="s">
        <v>13</v>
      </c>
      <c r="C844" t="s">
        <v>11</v>
      </c>
      <c r="D844">
        <v>11034</v>
      </c>
      <c r="E844">
        <v>6669</v>
      </c>
      <c r="F844">
        <v>6409</v>
      </c>
      <c r="G844">
        <v>97</v>
      </c>
      <c r="H844">
        <v>60</v>
      </c>
      <c r="I844">
        <v>102.33</v>
      </c>
      <c r="J844">
        <v>3404</v>
      </c>
    </row>
    <row r="845" spans="1:10" x14ac:dyDescent="0.35">
      <c r="A845" s="1">
        <v>45162</v>
      </c>
      <c r="B845" t="s">
        <v>13</v>
      </c>
      <c r="C845" t="s">
        <v>12</v>
      </c>
      <c r="D845">
        <v>7797</v>
      </c>
      <c r="E845">
        <v>6633</v>
      </c>
      <c r="F845">
        <v>3443</v>
      </c>
      <c r="G845">
        <v>71</v>
      </c>
      <c r="H845">
        <v>132</v>
      </c>
      <c r="I845">
        <v>106.44</v>
      </c>
      <c r="J845">
        <v>1792</v>
      </c>
    </row>
    <row r="846" spans="1:10" x14ac:dyDescent="0.35">
      <c r="A846" s="1">
        <v>45162</v>
      </c>
      <c r="B846" t="s">
        <v>14</v>
      </c>
      <c r="C846" t="s">
        <v>11</v>
      </c>
      <c r="D846">
        <v>3658</v>
      </c>
      <c r="E846">
        <v>1755</v>
      </c>
      <c r="F846">
        <v>1726</v>
      </c>
      <c r="G846">
        <v>19</v>
      </c>
      <c r="H846">
        <v>120</v>
      </c>
      <c r="I846">
        <v>102.08</v>
      </c>
      <c r="J846">
        <v>703</v>
      </c>
    </row>
    <row r="847" spans="1:10" x14ac:dyDescent="0.35">
      <c r="A847" s="1">
        <v>45162</v>
      </c>
      <c r="B847" t="s">
        <v>14</v>
      </c>
      <c r="C847" t="s">
        <v>12</v>
      </c>
      <c r="D847">
        <v>7283</v>
      </c>
      <c r="E847">
        <v>2308</v>
      </c>
      <c r="F847">
        <v>4259</v>
      </c>
      <c r="G847">
        <v>18</v>
      </c>
      <c r="H847">
        <v>141</v>
      </c>
      <c r="I847">
        <v>88.81</v>
      </c>
      <c r="J847">
        <v>1862</v>
      </c>
    </row>
    <row r="848" spans="1:10" x14ac:dyDescent="0.35">
      <c r="A848" s="1">
        <v>45162</v>
      </c>
      <c r="B848" t="s">
        <v>15</v>
      </c>
      <c r="C848" t="s">
        <v>11</v>
      </c>
      <c r="D848">
        <v>5143</v>
      </c>
      <c r="E848">
        <v>1364</v>
      </c>
      <c r="F848">
        <v>2382</v>
      </c>
      <c r="G848">
        <v>12</v>
      </c>
      <c r="H848">
        <v>102</v>
      </c>
      <c r="I848">
        <v>125.94</v>
      </c>
      <c r="J848">
        <v>1306</v>
      </c>
    </row>
    <row r="849" spans="1:10" x14ac:dyDescent="0.35">
      <c r="A849" s="1">
        <v>45162</v>
      </c>
      <c r="B849" t="s">
        <v>15</v>
      </c>
      <c r="C849" t="s">
        <v>12</v>
      </c>
      <c r="D849">
        <v>2621</v>
      </c>
      <c r="E849">
        <v>1341</v>
      </c>
      <c r="F849">
        <v>2191</v>
      </c>
      <c r="G849">
        <v>11</v>
      </c>
      <c r="H849">
        <v>826</v>
      </c>
      <c r="I849">
        <v>27.64</v>
      </c>
      <c r="J849">
        <v>495</v>
      </c>
    </row>
    <row r="850" spans="1:10" x14ac:dyDescent="0.35">
      <c r="A850" s="1">
        <v>45162</v>
      </c>
      <c r="B850" t="s">
        <v>16</v>
      </c>
      <c r="C850" t="s">
        <v>11</v>
      </c>
      <c r="D850">
        <v>5719</v>
      </c>
      <c r="E850">
        <v>1459</v>
      </c>
      <c r="F850">
        <v>3047</v>
      </c>
      <c r="G850">
        <v>14</v>
      </c>
      <c r="H850">
        <v>36</v>
      </c>
      <c r="I850">
        <v>166.32</v>
      </c>
      <c r="J850">
        <v>1378</v>
      </c>
    </row>
    <row r="851" spans="1:10" x14ac:dyDescent="0.35">
      <c r="A851" s="1">
        <v>45162</v>
      </c>
      <c r="B851" t="s">
        <v>16</v>
      </c>
      <c r="C851" t="s">
        <v>12</v>
      </c>
      <c r="D851">
        <v>6473</v>
      </c>
      <c r="E851">
        <v>1797</v>
      </c>
      <c r="F851">
        <v>2327</v>
      </c>
      <c r="G851">
        <v>27</v>
      </c>
      <c r="H851">
        <v>88</v>
      </c>
      <c r="I851">
        <v>85.77</v>
      </c>
      <c r="J851">
        <v>1613</v>
      </c>
    </row>
    <row r="852" spans="1:10" x14ac:dyDescent="0.35">
      <c r="A852" s="1">
        <v>45163</v>
      </c>
      <c r="B852" t="s">
        <v>10</v>
      </c>
      <c r="C852" t="s">
        <v>11</v>
      </c>
      <c r="D852">
        <v>11234</v>
      </c>
      <c r="E852">
        <v>10022</v>
      </c>
      <c r="F852">
        <v>3972</v>
      </c>
      <c r="G852">
        <v>65</v>
      </c>
      <c r="H852">
        <v>111</v>
      </c>
      <c r="I852">
        <v>170.72</v>
      </c>
      <c r="J852">
        <v>2073</v>
      </c>
    </row>
    <row r="853" spans="1:10" x14ac:dyDescent="0.35">
      <c r="A853" s="1">
        <v>45163</v>
      </c>
      <c r="B853" t="s">
        <v>10</v>
      </c>
      <c r="C853" t="s">
        <v>12</v>
      </c>
      <c r="D853">
        <v>11902</v>
      </c>
      <c r="E853">
        <v>9153</v>
      </c>
      <c r="F853">
        <v>3694</v>
      </c>
      <c r="G853">
        <v>80</v>
      </c>
      <c r="H853">
        <v>142</v>
      </c>
      <c r="I853">
        <v>123.72</v>
      </c>
      <c r="J853">
        <v>1320</v>
      </c>
    </row>
    <row r="854" spans="1:10" x14ac:dyDescent="0.35">
      <c r="A854" s="1">
        <v>45163</v>
      </c>
      <c r="B854" t="s">
        <v>13</v>
      </c>
      <c r="C854" t="s">
        <v>11</v>
      </c>
      <c r="D854">
        <v>5649</v>
      </c>
      <c r="E854">
        <v>1510</v>
      </c>
      <c r="F854">
        <v>2590</v>
      </c>
      <c r="G854">
        <v>20</v>
      </c>
      <c r="H854">
        <v>37</v>
      </c>
      <c r="I854">
        <v>179.91</v>
      </c>
      <c r="J854">
        <v>1012</v>
      </c>
    </row>
    <row r="855" spans="1:10" x14ac:dyDescent="0.35">
      <c r="A855" s="1">
        <v>45163</v>
      </c>
      <c r="B855" t="s">
        <v>13</v>
      </c>
      <c r="C855" t="s">
        <v>12</v>
      </c>
      <c r="D855">
        <v>3548</v>
      </c>
      <c r="E855">
        <v>3062</v>
      </c>
      <c r="F855">
        <v>1839</v>
      </c>
      <c r="G855">
        <v>37</v>
      </c>
      <c r="H855">
        <v>80</v>
      </c>
      <c r="I855">
        <v>48.12</v>
      </c>
      <c r="J855">
        <v>647</v>
      </c>
    </row>
    <row r="856" spans="1:10" x14ac:dyDescent="0.35">
      <c r="A856" s="1">
        <v>45163</v>
      </c>
      <c r="B856" t="s">
        <v>14</v>
      </c>
      <c r="C856" t="s">
        <v>11</v>
      </c>
      <c r="D856">
        <v>5782</v>
      </c>
      <c r="E856">
        <v>3634</v>
      </c>
      <c r="F856">
        <v>1766</v>
      </c>
      <c r="G856">
        <v>21</v>
      </c>
      <c r="H856">
        <v>47</v>
      </c>
      <c r="I856">
        <v>33.479999999999997</v>
      </c>
      <c r="J856">
        <v>611</v>
      </c>
    </row>
    <row r="857" spans="1:10" x14ac:dyDescent="0.35">
      <c r="A857" s="1">
        <v>45163</v>
      </c>
      <c r="B857" t="s">
        <v>14</v>
      </c>
      <c r="C857" t="s">
        <v>12</v>
      </c>
      <c r="D857">
        <v>2023</v>
      </c>
      <c r="E857">
        <v>1653</v>
      </c>
      <c r="F857">
        <v>2039</v>
      </c>
      <c r="G857">
        <v>17</v>
      </c>
      <c r="H857">
        <v>619</v>
      </c>
      <c r="I857">
        <v>139.83000000000001</v>
      </c>
      <c r="J857">
        <v>288</v>
      </c>
    </row>
    <row r="858" spans="1:10" x14ac:dyDescent="0.35">
      <c r="A858" s="1">
        <v>45163</v>
      </c>
      <c r="B858" t="s">
        <v>15</v>
      </c>
      <c r="C858" t="s">
        <v>11</v>
      </c>
      <c r="D858">
        <v>1668</v>
      </c>
      <c r="E858">
        <v>433</v>
      </c>
      <c r="F858">
        <v>2211</v>
      </c>
      <c r="G858">
        <v>37</v>
      </c>
      <c r="H858">
        <v>709</v>
      </c>
      <c r="I858">
        <v>23.3</v>
      </c>
      <c r="J858">
        <v>378</v>
      </c>
    </row>
    <row r="859" spans="1:10" x14ac:dyDescent="0.35">
      <c r="A859" s="1">
        <v>45163</v>
      </c>
      <c r="B859" t="s">
        <v>15</v>
      </c>
      <c r="C859" t="s">
        <v>12</v>
      </c>
      <c r="D859">
        <v>3678</v>
      </c>
      <c r="E859">
        <v>2221</v>
      </c>
      <c r="F859">
        <v>1327</v>
      </c>
      <c r="G859">
        <v>29</v>
      </c>
      <c r="H859">
        <v>59</v>
      </c>
      <c r="I859">
        <v>152.94999999999999</v>
      </c>
      <c r="J859">
        <v>843</v>
      </c>
    </row>
    <row r="860" spans="1:10" x14ac:dyDescent="0.35">
      <c r="A860" s="1">
        <v>45163</v>
      </c>
      <c r="B860" t="s">
        <v>16</v>
      </c>
      <c r="C860" t="s">
        <v>11</v>
      </c>
      <c r="D860">
        <v>5263</v>
      </c>
      <c r="E860">
        <v>4761</v>
      </c>
      <c r="F860">
        <v>2731</v>
      </c>
      <c r="G860">
        <v>25</v>
      </c>
      <c r="H860">
        <v>65</v>
      </c>
      <c r="I860">
        <v>48.78</v>
      </c>
      <c r="J860">
        <v>1911</v>
      </c>
    </row>
    <row r="861" spans="1:10" x14ac:dyDescent="0.35">
      <c r="A861" s="1">
        <v>45163</v>
      </c>
      <c r="B861" t="s">
        <v>16</v>
      </c>
      <c r="C861" t="s">
        <v>12</v>
      </c>
      <c r="D861">
        <v>4215</v>
      </c>
      <c r="E861">
        <v>1181</v>
      </c>
      <c r="F861">
        <v>1331</v>
      </c>
      <c r="G861">
        <v>41</v>
      </c>
      <c r="H861">
        <v>57</v>
      </c>
      <c r="I861">
        <v>41.32</v>
      </c>
      <c r="J861">
        <v>774</v>
      </c>
    </row>
    <row r="862" spans="1:10" x14ac:dyDescent="0.35">
      <c r="A862" s="1">
        <v>45164</v>
      </c>
      <c r="B862" t="s">
        <v>10</v>
      </c>
      <c r="C862" t="s">
        <v>11</v>
      </c>
      <c r="D862">
        <v>5887</v>
      </c>
      <c r="E862">
        <v>3646</v>
      </c>
      <c r="F862">
        <v>2068</v>
      </c>
      <c r="G862">
        <v>42</v>
      </c>
      <c r="H862">
        <v>47</v>
      </c>
      <c r="I862">
        <v>97.35</v>
      </c>
      <c r="J862">
        <v>804</v>
      </c>
    </row>
    <row r="863" spans="1:10" x14ac:dyDescent="0.35">
      <c r="A863" s="1">
        <v>45164</v>
      </c>
      <c r="B863" t="s">
        <v>10</v>
      </c>
      <c r="C863" t="s">
        <v>12</v>
      </c>
      <c r="D863">
        <v>4361</v>
      </c>
      <c r="E863">
        <v>4092</v>
      </c>
      <c r="F863">
        <v>2359</v>
      </c>
      <c r="G863">
        <v>21</v>
      </c>
      <c r="H863">
        <v>43</v>
      </c>
      <c r="I863">
        <v>57.38</v>
      </c>
      <c r="J863">
        <v>1544</v>
      </c>
    </row>
    <row r="864" spans="1:10" x14ac:dyDescent="0.35">
      <c r="A864" s="1">
        <v>45164</v>
      </c>
      <c r="B864" t="s">
        <v>13</v>
      </c>
      <c r="C864" t="s">
        <v>11</v>
      </c>
      <c r="D864">
        <v>9657</v>
      </c>
      <c r="E864">
        <v>7167</v>
      </c>
      <c r="F864">
        <v>5165</v>
      </c>
      <c r="G864">
        <v>90</v>
      </c>
      <c r="H864">
        <v>41</v>
      </c>
      <c r="I864">
        <v>38.31</v>
      </c>
      <c r="J864">
        <v>3728</v>
      </c>
    </row>
    <row r="865" spans="1:10" x14ac:dyDescent="0.35">
      <c r="A865" s="1">
        <v>45164</v>
      </c>
      <c r="B865" t="s">
        <v>13</v>
      </c>
      <c r="C865" t="s">
        <v>12</v>
      </c>
      <c r="D865">
        <v>6928</v>
      </c>
      <c r="E865">
        <v>3478</v>
      </c>
      <c r="F865">
        <v>4942</v>
      </c>
      <c r="G865">
        <v>48</v>
      </c>
      <c r="H865">
        <v>104</v>
      </c>
      <c r="I865">
        <v>101.08</v>
      </c>
      <c r="J865">
        <v>2581</v>
      </c>
    </row>
    <row r="866" spans="1:10" x14ac:dyDescent="0.35">
      <c r="A866" s="1">
        <v>45164</v>
      </c>
      <c r="B866" t="s">
        <v>14</v>
      </c>
      <c r="C866" t="s">
        <v>11</v>
      </c>
      <c r="D866">
        <v>5905</v>
      </c>
      <c r="E866">
        <v>1801</v>
      </c>
      <c r="F866">
        <v>2229</v>
      </c>
      <c r="G866">
        <v>29</v>
      </c>
      <c r="H866">
        <v>45</v>
      </c>
      <c r="I866">
        <v>127.49</v>
      </c>
      <c r="J866">
        <v>1007</v>
      </c>
    </row>
    <row r="867" spans="1:10" x14ac:dyDescent="0.35">
      <c r="A867" s="1">
        <v>45164</v>
      </c>
      <c r="B867" t="s">
        <v>14</v>
      </c>
      <c r="C867" t="s">
        <v>12</v>
      </c>
      <c r="D867">
        <v>2866</v>
      </c>
      <c r="E867">
        <v>942</v>
      </c>
      <c r="F867">
        <v>1161</v>
      </c>
      <c r="G867">
        <v>9</v>
      </c>
      <c r="H867">
        <v>31</v>
      </c>
      <c r="I867">
        <v>100.83</v>
      </c>
      <c r="J867">
        <v>752</v>
      </c>
    </row>
    <row r="868" spans="1:10" x14ac:dyDescent="0.35">
      <c r="A868" s="1">
        <v>45164</v>
      </c>
      <c r="B868" t="s">
        <v>15</v>
      </c>
      <c r="C868" t="s">
        <v>11</v>
      </c>
      <c r="D868">
        <v>5819</v>
      </c>
      <c r="E868">
        <v>2961</v>
      </c>
      <c r="F868">
        <v>3140</v>
      </c>
      <c r="G868">
        <v>20</v>
      </c>
      <c r="H868">
        <v>87</v>
      </c>
      <c r="I868">
        <v>77.58</v>
      </c>
      <c r="J868">
        <v>1941</v>
      </c>
    </row>
    <row r="869" spans="1:10" x14ac:dyDescent="0.35">
      <c r="A869" s="1">
        <v>45164</v>
      </c>
      <c r="B869" t="s">
        <v>15</v>
      </c>
      <c r="C869" t="s">
        <v>12</v>
      </c>
      <c r="D869">
        <v>3355</v>
      </c>
      <c r="E869">
        <v>2322</v>
      </c>
      <c r="F869">
        <v>1999</v>
      </c>
      <c r="G869">
        <v>15</v>
      </c>
      <c r="H869">
        <v>42</v>
      </c>
      <c r="I869">
        <v>96.39</v>
      </c>
      <c r="J869">
        <v>1302</v>
      </c>
    </row>
    <row r="870" spans="1:10" x14ac:dyDescent="0.35">
      <c r="A870" s="1">
        <v>45164</v>
      </c>
      <c r="B870" t="s">
        <v>16</v>
      </c>
      <c r="C870" t="s">
        <v>11</v>
      </c>
      <c r="D870">
        <v>3732</v>
      </c>
      <c r="E870">
        <v>2384</v>
      </c>
      <c r="F870">
        <v>1544</v>
      </c>
      <c r="G870">
        <v>17</v>
      </c>
      <c r="H870">
        <v>55</v>
      </c>
      <c r="I870">
        <v>84.21</v>
      </c>
      <c r="J870">
        <v>1049</v>
      </c>
    </row>
    <row r="871" spans="1:10" x14ac:dyDescent="0.35">
      <c r="A871" s="1">
        <v>45164</v>
      </c>
      <c r="B871" t="s">
        <v>16</v>
      </c>
      <c r="C871" t="s">
        <v>12</v>
      </c>
      <c r="D871">
        <v>6406</v>
      </c>
      <c r="E871">
        <v>4608</v>
      </c>
      <c r="F871">
        <v>2346</v>
      </c>
      <c r="G871">
        <v>35</v>
      </c>
      <c r="H871">
        <v>86</v>
      </c>
      <c r="I871">
        <v>115.11</v>
      </c>
      <c r="J871">
        <v>1474</v>
      </c>
    </row>
    <row r="872" spans="1:10" x14ac:dyDescent="0.35">
      <c r="A872" s="1">
        <v>45165</v>
      </c>
      <c r="B872" t="s">
        <v>10</v>
      </c>
      <c r="C872" t="s">
        <v>11</v>
      </c>
      <c r="D872">
        <v>8920</v>
      </c>
      <c r="E872">
        <v>3345</v>
      </c>
      <c r="F872">
        <v>2921</v>
      </c>
      <c r="G872">
        <v>17</v>
      </c>
      <c r="H872">
        <v>78</v>
      </c>
      <c r="I872">
        <v>70.680000000000007</v>
      </c>
      <c r="J872">
        <v>1608</v>
      </c>
    </row>
    <row r="873" spans="1:10" x14ac:dyDescent="0.35">
      <c r="A873" s="1">
        <v>45165</v>
      </c>
      <c r="B873" t="s">
        <v>10</v>
      </c>
      <c r="C873" t="s">
        <v>12</v>
      </c>
      <c r="D873">
        <v>11356</v>
      </c>
      <c r="E873">
        <v>3671</v>
      </c>
      <c r="F873">
        <v>3534</v>
      </c>
      <c r="G873">
        <v>35</v>
      </c>
      <c r="H873">
        <v>37</v>
      </c>
      <c r="I873">
        <v>50.55</v>
      </c>
      <c r="J873">
        <v>2519</v>
      </c>
    </row>
    <row r="874" spans="1:10" x14ac:dyDescent="0.35">
      <c r="A874" s="1">
        <v>45165</v>
      </c>
      <c r="B874" t="s">
        <v>13</v>
      </c>
      <c r="C874" t="s">
        <v>11</v>
      </c>
      <c r="D874">
        <v>8765</v>
      </c>
      <c r="E874">
        <v>5088</v>
      </c>
      <c r="F874">
        <v>3131</v>
      </c>
      <c r="G874">
        <v>56</v>
      </c>
      <c r="H874">
        <v>36</v>
      </c>
      <c r="I874">
        <v>176.93</v>
      </c>
      <c r="J874">
        <v>1590</v>
      </c>
    </row>
    <row r="875" spans="1:10" x14ac:dyDescent="0.35">
      <c r="A875" s="1">
        <v>45165</v>
      </c>
      <c r="B875" t="s">
        <v>13</v>
      </c>
      <c r="C875" t="s">
        <v>12</v>
      </c>
      <c r="D875">
        <v>6753</v>
      </c>
      <c r="E875">
        <v>3278</v>
      </c>
      <c r="F875">
        <v>3932</v>
      </c>
      <c r="G875">
        <v>51</v>
      </c>
      <c r="H875">
        <v>36</v>
      </c>
      <c r="I875">
        <v>105.65</v>
      </c>
      <c r="J875">
        <v>2366</v>
      </c>
    </row>
    <row r="876" spans="1:10" x14ac:dyDescent="0.35">
      <c r="A876" s="1">
        <v>45165</v>
      </c>
      <c r="B876" t="s">
        <v>14</v>
      </c>
      <c r="C876" t="s">
        <v>11</v>
      </c>
      <c r="D876">
        <v>3442</v>
      </c>
      <c r="E876">
        <v>3209</v>
      </c>
      <c r="F876">
        <v>1675</v>
      </c>
      <c r="G876">
        <v>45</v>
      </c>
      <c r="H876">
        <v>136</v>
      </c>
      <c r="I876">
        <v>151.43</v>
      </c>
      <c r="J876">
        <v>960</v>
      </c>
    </row>
    <row r="877" spans="1:10" x14ac:dyDescent="0.35">
      <c r="A877" s="1">
        <v>45165</v>
      </c>
      <c r="B877" t="s">
        <v>14</v>
      </c>
      <c r="C877" t="s">
        <v>12</v>
      </c>
      <c r="D877">
        <v>6871</v>
      </c>
      <c r="E877">
        <v>4166</v>
      </c>
      <c r="F877">
        <v>2853</v>
      </c>
      <c r="G877">
        <v>24</v>
      </c>
      <c r="H877">
        <v>30</v>
      </c>
      <c r="I877">
        <v>86.3</v>
      </c>
      <c r="J877">
        <v>1426</v>
      </c>
    </row>
    <row r="878" spans="1:10" x14ac:dyDescent="0.35">
      <c r="A878" s="1">
        <v>45165</v>
      </c>
      <c r="B878" t="s">
        <v>15</v>
      </c>
      <c r="C878" t="s">
        <v>11</v>
      </c>
      <c r="D878">
        <v>5890</v>
      </c>
      <c r="E878">
        <v>3331</v>
      </c>
      <c r="F878">
        <v>2455</v>
      </c>
      <c r="G878">
        <v>22</v>
      </c>
      <c r="H878">
        <v>55</v>
      </c>
      <c r="I878">
        <v>130.22999999999999</v>
      </c>
      <c r="J878">
        <v>1788</v>
      </c>
    </row>
    <row r="879" spans="1:10" x14ac:dyDescent="0.35">
      <c r="A879" s="1">
        <v>45165</v>
      </c>
      <c r="B879" t="s">
        <v>15</v>
      </c>
      <c r="C879" t="s">
        <v>12</v>
      </c>
      <c r="D879">
        <v>2498</v>
      </c>
      <c r="E879">
        <v>1229</v>
      </c>
      <c r="F879">
        <v>1292</v>
      </c>
      <c r="G879">
        <v>40</v>
      </c>
      <c r="H879">
        <v>43</v>
      </c>
      <c r="I879">
        <v>18.579999999999998</v>
      </c>
      <c r="J879">
        <v>569</v>
      </c>
    </row>
    <row r="880" spans="1:10" x14ac:dyDescent="0.35">
      <c r="A880" s="1">
        <v>45165</v>
      </c>
      <c r="B880" t="s">
        <v>16</v>
      </c>
      <c r="C880" t="s">
        <v>11</v>
      </c>
      <c r="D880">
        <v>4633</v>
      </c>
      <c r="E880">
        <v>3707</v>
      </c>
      <c r="F880">
        <v>2006</v>
      </c>
      <c r="G880">
        <v>35</v>
      </c>
      <c r="H880">
        <v>49</v>
      </c>
      <c r="I880">
        <v>114.18</v>
      </c>
      <c r="J880">
        <v>941</v>
      </c>
    </row>
    <row r="881" spans="1:10" x14ac:dyDescent="0.35">
      <c r="A881" s="1">
        <v>45165</v>
      </c>
      <c r="B881" t="s">
        <v>16</v>
      </c>
      <c r="C881" t="s">
        <v>12</v>
      </c>
      <c r="D881">
        <v>2767</v>
      </c>
      <c r="E881">
        <v>1385</v>
      </c>
      <c r="F881">
        <v>1387</v>
      </c>
      <c r="G881">
        <v>15</v>
      </c>
      <c r="H881">
        <v>85</v>
      </c>
      <c r="I881">
        <v>134.38</v>
      </c>
      <c r="J881">
        <v>584</v>
      </c>
    </row>
    <row r="882" spans="1:10" x14ac:dyDescent="0.35">
      <c r="A882" s="1">
        <v>45166</v>
      </c>
      <c r="B882" t="s">
        <v>10</v>
      </c>
      <c r="C882" t="s">
        <v>11</v>
      </c>
      <c r="D882">
        <v>4864</v>
      </c>
      <c r="E882">
        <v>2268</v>
      </c>
      <c r="F882">
        <v>2458</v>
      </c>
      <c r="G882">
        <v>14</v>
      </c>
      <c r="H882">
        <v>60</v>
      </c>
      <c r="I882">
        <v>74.3</v>
      </c>
      <c r="J882">
        <v>1520</v>
      </c>
    </row>
    <row r="883" spans="1:10" x14ac:dyDescent="0.35">
      <c r="A883" s="1">
        <v>45166</v>
      </c>
      <c r="B883" t="s">
        <v>10</v>
      </c>
      <c r="C883" t="s">
        <v>12</v>
      </c>
      <c r="D883">
        <v>11782</v>
      </c>
      <c r="E883">
        <v>6580</v>
      </c>
      <c r="F883">
        <v>4650</v>
      </c>
      <c r="G883">
        <v>84</v>
      </c>
      <c r="H883">
        <v>33</v>
      </c>
      <c r="I883">
        <v>21.2</v>
      </c>
      <c r="J883">
        <v>2823</v>
      </c>
    </row>
    <row r="884" spans="1:10" x14ac:dyDescent="0.35">
      <c r="A884" s="1">
        <v>45166</v>
      </c>
      <c r="B884" t="s">
        <v>13</v>
      </c>
      <c r="C884" t="s">
        <v>11</v>
      </c>
      <c r="D884">
        <v>10993</v>
      </c>
      <c r="E884">
        <v>5696</v>
      </c>
      <c r="F884">
        <v>4688</v>
      </c>
      <c r="G884">
        <v>46</v>
      </c>
      <c r="H884">
        <v>58</v>
      </c>
      <c r="I884">
        <v>46.34</v>
      </c>
      <c r="J884">
        <v>1605</v>
      </c>
    </row>
    <row r="885" spans="1:10" x14ac:dyDescent="0.35">
      <c r="A885" s="1">
        <v>45166</v>
      </c>
      <c r="B885" t="s">
        <v>13</v>
      </c>
      <c r="C885" t="s">
        <v>12</v>
      </c>
      <c r="D885">
        <v>4968</v>
      </c>
      <c r="E885">
        <v>2216</v>
      </c>
      <c r="F885">
        <v>2452</v>
      </c>
      <c r="G885">
        <v>17</v>
      </c>
      <c r="H885">
        <v>118</v>
      </c>
      <c r="I885">
        <v>151.16999999999999</v>
      </c>
      <c r="J885">
        <v>1454</v>
      </c>
    </row>
    <row r="886" spans="1:10" x14ac:dyDescent="0.35">
      <c r="A886" s="1">
        <v>45166</v>
      </c>
      <c r="B886" t="s">
        <v>14</v>
      </c>
      <c r="C886" t="s">
        <v>11</v>
      </c>
      <c r="D886">
        <v>5231</v>
      </c>
      <c r="E886">
        <v>2286</v>
      </c>
      <c r="F886">
        <v>2505</v>
      </c>
      <c r="G886">
        <v>38</v>
      </c>
      <c r="H886">
        <v>128</v>
      </c>
      <c r="I886">
        <v>16.670000000000002</v>
      </c>
      <c r="J886">
        <v>1551</v>
      </c>
    </row>
    <row r="887" spans="1:10" x14ac:dyDescent="0.35">
      <c r="A887" s="1">
        <v>45166</v>
      </c>
      <c r="B887" t="s">
        <v>14</v>
      </c>
      <c r="C887" t="s">
        <v>12</v>
      </c>
      <c r="D887">
        <v>4046</v>
      </c>
      <c r="E887">
        <v>2629</v>
      </c>
      <c r="F887">
        <v>2389</v>
      </c>
      <c r="G887">
        <v>41</v>
      </c>
      <c r="H887">
        <v>35</v>
      </c>
      <c r="I887">
        <v>126.15</v>
      </c>
      <c r="J887">
        <v>1298</v>
      </c>
    </row>
    <row r="888" spans="1:10" x14ac:dyDescent="0.35">
      <c r="A888" s="1">
        <v>45166</v>
      </c>
      <c r="B888" t="s">
        <v>15</v>
      </c>
      <c r="C888" t="s">
        <v>11</v>
      </c>
      <c r="D888">
        <v>4061</v>
      </c>
      <c r="E888">
        <v>2336</v>
      </c>
      <c r="F888">
        <v>1791</v>
      </c>
      <c r="G888">
        <v>18</v>
      </c>
      <c r="H888">
        <v>73</v>
      </c>
      <c r="I888">
        <v>42.1</v>
      </c>
      <c r="J888">
        <v>904</v>
      </c>
    </row>
    <row r="889" spans="1:10" x14ac:dyDescent="0.35">
      <c r="A889" s="1">
        <v>45166</v>
      </c>
      <c r="B889" t="s">
        <v>15</v>
      </c>
      <c r="C889" t="s">
        <v>12</v>
      </c>
      <c r="D889">
        <v>1092</v>
      </c>
      <c r="E889">
        <v>309</v>
      </c>
      <c r="F889">
        <v>1742</v>
      </c>
      <c r="G889">
        <v>38</v>
      </c>
      <c r="H889">
        <v>536</v>
      </c>
      <c r="I889">
        <v>49.54</v>
      </c>
      <c r="J889">
        <v>205</v>
      </c>
    </row>
    <row r="890" spans="1:10" x14ac:dyDescent="0.35">
      <c r="A890" s="1">
        <v>45166</v>
      </c>
      <c r="B890" t="s">
        <v>16</v>
      </c>
      <c r="C890" t="s">
        <v>11</v>
      </c>
      <c r="D890">
        <v>3814</v>
      </c>
      <c r="E890">
        <v>2886</v>
      </c>
      <c r="F890">
        <v>2228</v>
      </c>
      <c r="G890">
        <v>34</v>
      </c>
      <c r="H890">
        <v>144</v>
      </c>
      <c r="I890">
        <v>102.46</v>
      </c>
      <c r="J890">
        <v>722</v>
      </c>
    </row>
    <row r="891" spans="1:10" x14ac:dyDescent="0.35">
      <c r="A891" s="1">
        <v>45166</v>
      </c>
      <c r="B891" t="s">
        <v>16</v>
      </c>
      <c r="C891" t="s">
        <v>12</v>
      </c>
      <c r="D891">
        <v>4390</v>
      </c>
      <c r="E891">
        <v>3094</v>
      </c>
      <c r="F891">
        <v>2282</v>
      </c>
      <c r="G891">
        <v>48</v>
      </c>
      <c r="H891">
        <v>106</v>
      </c>
      <c r="I891">
        <v>61.16</v>
      </c>
      <c r="J891">
        <v>1207</v>
      </c>
    </row>
    <row r="892" spans="1:10" x14ac:dyDescent="0.35">
      <c r="A892" s="1">
        <v>45167</v>
      </c>
      <c r="B892" t="s">
        <v>10</v>
      </c>
      <c r="C892" t="s">
        <v>11</v>
      </c>
      <c r="D892">
        <v>12410</v>
      </c>
      <c r="E892">
        <v>3766</v>
      </c>
      <c r="F892">
        <v>6516</v>
      </c>
      <c r="G892">
        <v>37</v>
      </c>
      <c r="H892">
        <v>84</v>
      </c>
      <c r="I892">
        <v>107.64</v>
      </c>
      <c r="J892">
        <v>3988</v>
      </c>
    </row>
    <row r="893" spans="1:10" x14ac:dyDescent="0.35">
      <c r="A893" s="1">
        <v>45167</v>
      </c>
      <c r="B893" t="s">
        <v>10</v>
      </c>
      <c r="C893" t="s">
        <v>12</v>
      </c>
      <c r="D893">
        <v>10158</v>
      </c>
      <c r="E893">
        <v>4848</v>
      </c>
      <c r="F893">
        <v>5659</v>
      </c>
      <c r="G893">
        <v>49</v>
      </c>
      <c r="H893">
        <v>128</v>
      </c>
      <c r="I893">
        <v>159.1</v>
      </c>
      <c r="J893">
        <v>3440</v>
      </c>
    </row>
    <row r="894" spans="1:10" x14ac:dyDescent="0.35">
      <c r="A894" s="1">
        <v>45167</v>
      </c>
      <c r="B894" t="s">
        <v>13</v>
      </c>
      <c r="C894" t="s">
        <v>11</v>
      </c>
      <c r="D894">
        <v>6158</v>
      </c>
      <c r="E894">
        <v>4406</v>
      </c>
      <c r="F894">
        <v>1891</v>
      </c>
      <c r="G894">
        <v>49</v>
      </c>
      <c r="H894">
        <v>119</v>
      </c>
      <c r="I894">
        <v>22.88</v>
      </c>
      <c r="J894">
        <v>919</v>
      </c>
    </row>
    <row r="895" spans="1:10" x14ac:dyDescent="0.35">
      <c r="A895" s="1">
        <v>45167</v>
      </c>
      <c r="B895" t="s">
        <v>13</v>
      </c>
      <c r="C895" t="s">
        <v>12</v>
      </c>
      <c r="D895">
        <v>3553</v>
      </c>
      <c r="E895">
        <v>1378</v>
      </c>
      <c r="F895">
        <v>1200</v>
      </c>
      <c r="G895">
        <v>10</v>
      </c>
      <c r="H895">
        <v>78</v>
      </c>
      <c r="I895">
        <v>166.04</v>
      </c>
      <c r="J895">
        <v>528</v>
      </c>
    </row>
    <row r="896" spans="1:10" x14ac:dyDescent="0.35">
      <c r="A896" s="1">
        <v>45167</v>
      </c>
      <c r="B896" t="s">
        <v>14</v>
      </c>
      <c r="C896" t="s">
        <v>11</v>
      </c>
      <c r="D896">
        <v>8156</v>
      </c>
      <c r="E896">
        <v>6639</v>
      </c>
      <c r="F896">
        <v>4618</v>
      </c>
      <c r="G896">
        <v>54</v>
      </c>
      <c r="H896">
        <v>34</v>
      </c>
      <c r="I896">
        <v>31.98</v>
      </c>
      <c r="J896">
        <v>1671</v>
      </c>
    </row>
    <row r="897" spans="1:10" x14ac:dyDescent="0.35">
      <c r="A897" s="1">
        <v>45167</v>
      </c>
      <c r="B897" t="s">
        <v>14</v>
      </c>
      <c r="C897" t="s">
        <v>12</v>
      </c>
      <c r="D897">
        <v>3614</v>
      </c>
      <c r="E897">
        <v>3333</v>
      </c>
      <c r="F897">
        <v>1375</v>
      </c>
      <c r="G897">
        <v>46</v>
      </c>
      <c r="H897">
        <v>39</v>
      </c>
      <c r="I897">
        <v>160.47</v>
      </c>
      <c r="J897">
        <v>778</v>
      </c>
    </row>
    <row r="898" spans="1:10" x14ac:dyDescent="0.35">
      <c r="A898" s="1">
        <v>45167</v>
      </c>
      <c r="B898" t="s">
        <v>15</v>
      </c>
      <c r="C898" t="s">
        <v>11</v>
      </c>
      <c r="D898">
        <v>4211</v>
      </c>
      <c r="E898">
        <v>1239</v>
      </c>
      <c r="F898">
        <v>2104</v>
      </c>
      <c r="G898">
        <v>15</v>
      </c>
      <c r="H898">
        <v>96</v>
      </c>
      <c r="I898">
        <v>102.37</v>
      </c>
      <c r="J898">
        <v>990</v>
      </c>
    </row>
    <row r="899" spans="1:10" x14ac:dyDescent="0.35">
      <c r="A899" s="1">
        <v>45167</v>
      </c>
      <c r="B899" t="s">
        <v>15</v>
      </c>
      <c r="C899" t="s">
        <v>12</v>
      </c>
      <c r="D899">
        <v>2443</v>
      </c>
      <c r="E899">
        <v>1841</v>
      </c>
      <c r="F899">
        <v>1214</v>
      </c>
      <c r="G899">
        <v>15</v>
      </c>
      <c r="H899">
        <v>803</v>
      </c>
      <c r="I899">
        <v>174.85</v>
      </c>
      <c r="J899">
        <v>472</v>
      </c>
    </row>
    <row r="900" spans="1:10" x14ac:dyDescent="0.35">
      <c r="A900" s="1">
        <v>45167</v>
      </c>
      <c r="B900" t="s">
        <v>16</v>
      </c>
      <c r="C900" t="s">
        <v>11</v>
      </c>
      <c r="D900">
        <v>8591</v>
      </c>
      <c r="E900">
        <v>4728</v>
      </c>
      <c r="F900">
        <v>4134</v>
      </c>
      <c r="G900">
        <v>39</v>
      </c>
      <c r="H900">
        <v>50</v>
      </c>
      <c r="I900">
        <v>97.36</v>
      </c>
      <c r="J900">
        <v>1332</v>
      </c>
    </row>
    <row r="901" spans="1:10" x14ac:dyDescent="0.35">
      <c r="A901" s="1">
        <v>45167</v>
      </c>
      <c r="B901" t="s">
        <v>16</v>
      </c>
      <c r="C901" t="s">
        <v>12</v>
      </c>
      <c r="D901">
        <v>4787</v>
      </c>
      <c r="E901">
        <v>1808</v>
      </c>
      <c r="F901">
        <v>2019</v>
      </c>
      <c r="G901">
        <v>22</v>
      </c>
      <c r="H901">
        <v>57</v>
      </c>
      <c r="I901">
        <v>129.03</v>
      </c>
      <c r="J901">
        <v>643</v>
      </c>
    </row>
    <row r="902" spans="1:10" x14ac:dyDescent="0.35">
      <c r="A902" s="1">
        <v>45168</v>
      </c>
      <c r="B902" t="s">
        <v>10</v>
      </c>
      <c r="C902" t="s">
        <v>11</v>
      </c>
      <c r="D902">
        <v>15701</v>
      </c>
      <c r="E902">
        <v>14493</v>
      </c>
      <c r="F902">
        <v>8532</v>
      </c>
      <c r="G902">
        <v>118</v>
      </c>
      <c r="H902">
        <v>75</v>
      </c>
      <c r="I902">
        <v>169.12</v>
      </c>
      <c r="J902">
        <v>2772</v>
      </c>
    </row>
    <row r="903" spans="1:10" x14ac:dyDescent="0.35">
      <c r="A903" s="1">
        <v>45168</v>
      </c>
      <c r="B903" t="s">
        <v>10</v>
      </c>
      <c r="C903" t="s">
        <v>12</v>
      </c>
      <c r="D903">
        <v>6823</v>
      </c>
      <c r="E903">
        <v>5205</v>
      </c>
      <c r="F903">
        <v>2966</v>
      </c>
      <c r="G903">
        <v>39</v>
      </c>
      <c r="H903">
        <v>33</v>
      </c>
      <c r="I903">
        <v>167.57</v>
      </c>
      <c r="J903">
        <v>1953</v>
      </c>
    </row>
    <row r="904" spans="1:10" x14ac:dyDescent="0.35">
      <c r="A904" s="1">
        <v>45168</v>
      </c>
      <c r="B904" t="s">
        <v>13</v>
      </c>
      <c r="C904" t="s">
        <v>11</v>
      </c>
      <c r="D904">
        <v>3214</v>
      </c>
      <c r="E904">
        <v>2210</v>
      </c>
      <c r="F904">
        <v>1687</v>
      </c>
      <c r="G904">
        <v>25</v>
      </c>
      <c r="H904">
        <v>34</v>
      </c>
      <c r="I904">
        <v>117.72</v>
      </c>
      <c r="J904">
        <v>1058</v>
      </c>
    </row>
    <row r="905" spans="1:10" x14ac:dyDescent="0.35">
      <c r="A905" s="1">
        <v>45168</v>
      </c>
      <c r="B905" t="s">
        <v>13</v>
      </c>
      <c r="C905" t="s">
        <v>12</v>
      </c>
      <c r="D905">
        <v>6948</v>
      </c>
      <c r="E905">
        <v>6522</v>
      </c>
      <c r="F905">
        <v>2644</v>
      </c>
      <c r="G905">
        <v>41</v>
      </c>
      <c r="H905">
        <v>110</v>
      </c>
      <c r="I905">
        <v>60.7</v>
      </c>
      <c r="J905">
        <v>1379</v>
      </c>
    </row>
    <row r="906" spans="1:10" x14ac:dyDescent="0.35">
      <c r="A906" s="1">
        <v>45168</v>
      </c>
      <c r="B906" t="s">
        <v>14</v>
      </c>
      <c r="C906" t="s">
        <v>11</v>
      </c>
      <c r="D906">
        <v>8978</v>
      </c>
      <c r="E906">
        <v>4087</v>
      </c>
      <c r="F906">
        <v>3280</v>
      </c>
      <c r="G906">
        <v>40</v>
      </c>
      <c r="H906">
        <v>74</v>
      </c>
      <c r="I906">
        <v>82.87</v>
      </c>
      <c r="J906">
        <v>2410</v>
      </c>
    </row>
    <row r="907" spans="1:10" x14ac:dyDescent="0.35">
      <c r="A907" s="1">
        <v>45168</v>
      </c>
      <c r="B907" t="s">
        <v>14</v>
      </c>
      <c r="C907" t="s">
        <v>12</v>
      </c>
      <c r="D907">
        <v>7686</v>
      </c>
      <c r="E907">
        <v>3072</v>
      </c>
      <c r="F907">
        <v>2770</v>
      </c>
      <c r="G907">
        <v>43</v>
      </c>
      <c r="H907">
        <v>88</v>
      </c>
      <c r="I907">
        <v>20.93</v>
      </c>
      <c r="J907">
        <v>931</v>
      </c>
    </row>
    <row r="908" spans="1:10" x14ac:dyDescent="0.35">
      <c r="A908" s="1">
        <v>45168</v>
      </c>
      <c r="B908" t="s">
        <v>15</v>
      </c>
      <c r="C908" t="s">
        <v>11</v>
      </c>
      <c r="D908">
        <v>3968</v>
      </c>
      <c r="E908">
        <v>3259</v>
      </c>
      <c r="F908">
        <v>2280</v>
      </c>
      <c r="G908">
        <v>46</v>
      </c>
      <c r="H908">
        <v>133</v>
      </c>
      <c r="I908">
        <v>144.16999999999999</v>
      </c>
      <c r="J908">
        <v>1560</v>
      </c>
    </row>
    <row r="909" spans="1:10" x14ac:dyDescent="0.35">
      <c r="A909" s="1">
        <v>45168</v>
      </c>
      <c r="B909" t="s">
        <v>15</v>
      </c>
      <c r="C909" t="s">
        <v>12</v>
      </c>
      <c r="D909">
        <v>6922</v>
      </c>
      <c r="E909">
        <v>2765</v>
      </c>
      <c r="F909">
        <v>4626</v>
      </c>
      <c r="G909">
        <v>55</v>
      </c>
      <c r="H909">
        <v>192</v>
      </c>
      <c r="I909">
        <v>176.83</v>
      </c>
      <c r="J909">
        <v>2949</v>
      </c>
    </row>
    <row r="910" spans="1:10" x14ac:dyDescent="0.35">
      <c r="A910" s="1">
        <v>45168</v>
      </c>
      <c r="B910" t="s">
        <v>16</v>
      </c>
      <c r="C910" t="s">
        <v>11</v>
      </c>
      <c r="D910">
        <v>11646</v>
      </c>
      <c r="E910">
        <v>8976</v>
      </c>
      <c r="F910">
        <v>5142</v>
      </c>
      <c r="G910">
        <v>111</v>
      </c>
      <c r="H910">
        <v>47</v>
      </c>
      <c r="I910">
        <v>179.76</v>
      </c>
      <c r="J910">
        <v>3763</v>
      </c>
    </row>
    <row r="911" spans="1:10" x14ac:dyDescent="0.35">
      <c r="A911" s="1">
        <v>45168</v>
      </c>
      <c r="B911" t="s">
        <v>16</v>
      </c>
      <c r="C911" t="s">
        <v>12</v>
      </c>
      <c r="D911">
        <v>6472</v>
      </c>
      <c r="E911">
        <v>4980</v>
      </c>
      <c r="F911">
        <v>2639</v>
      </c>
      <c r="G911">
        <v>30</v>
      </c>
      <c r="H911">
        <v>121</v>
      </c>
      <c r="I911">
        <v>167.82</v>
      </c>
      <c r="J911">
        <v>1811</v>
      </c>
    </row>
    <row r="912" spans="1:10" x14ac:dyDescent="0.35">
      <c r="A912" s="1">
        <v>45169</v>
      </c>
      <c r="B912" t="s">
        <v>10</v>
      </c>
      <c r="C912" t="s">
        <v>11</v>
      </c>
      <c r="D912">
        <v>5015</v>
      </c>
      <c r="E912">
        <v>1999</v>
      </c>
      <c r="F912">
        <v>2810</v>
      </c>
      <c r="G912">
        <v>32</v>
      </c>
      <c r="H912">
        <v>35</v>
      </c>
      <c r="I912">
        <v>115.15</v>
      </c>
      <c r="J912">
        <v>1475</v>
      </c>
    </row>
    <row r="913" spans="1:10" x14ac:dyDescent="0.35">
      <c r="A913" s="1">
        <v>45169</v>
      </c>
      <c r="B913" t="s">
        <v>10</v>
      </c>
      <c r="C913" t="s">
        <v>12</v>
      </c>
      <c r="D913">
        <v>4033</v>
      </c>
      <c r="E913">
        <v>3786</v>
      </c>
      <c r="F913">
        <v>1617</v>
      </c>
      <c r="G913">
        <v>44</v>
      </c>
      <c r="H913">
        <v>39</v>
      </c>
      <c r="I913">
        <v>107.26</v>
      </c>
      <c r="J913">
        <v>863</v>
      </c>
    </row>
    <row r="914" spans="1:10" x14ac:dyDescent="0.35">
      <c r="A914" s="1">
        <v>45169</v>
      </c>
      <c r="B914" t="s">
        <v>13</v>
      </c>
      <c r="C914" t="s">
        <v>11</v>
      </c>
      <c r="D914">
        <v>9520</v>
      </c>
      <c r="E914">
        <v>3934</v>
      </c>
      <c r="F914">
        <v>4998</v>
      </c>
      <c r="G914">
        <v>54</v>
      </c>
      <c r="H914">
        <v>91</v>
      </c>
      <c r="I914">
        <v>57.69</v>
      </c>
      <c r="J914">
        <v>2213</v>
      </c>
    </row>
    <row r="915" spans="1:10" x14ac:dyDescent="0.35">
      <c r="A915" s="1">
        <v>45169</v>
      </c>
      <c r="B915" t="s">
        <v>13</v>
      </c>
      <c r="C915" t="s">
        <v>12</v>
      </c>
      <c r="D915">
        <v>5267</v>
      </c>
      <c r="E915">
        <v>3968</v>
      </c>
      <c r="F915">
        <v>1664</v>
      </c>
      <c r="G915">
        <v>37</v>
      </c>
      <c r="H915">
        <v>33</v>
      </c>
      <c r="I915">
        <v>112.95</v>
      </c>
      <c r="J915">
        <v>1064</v>
      </c>
    </row>
    <row r="916" spans="1:10" x14ac:dyDescent="0.35">
      <c r="A916" s="1">
        <v>45169</v>
      </c>
      <c r="B916" t="s">
        <v>14</v>
      </c>
      <c r="C916" t="s">
        <v>11</v>
      </c>
      <c r="D916">
        <v>8834</v>
      </c>
      <c r="E916">
        <v>3289</v>
      </c>
      <c r="F916">
        <v>3061</v>
      </c>
      <c r="G916">
        <v>39</v>
      </c>
      <c r="H916">
        <v>36</v>
      </c>
      <c r="I916">
        <v>123.24</v>
      </c>
      <c r="J916">
        <v>1409</v>
      </c>
    </row>
    <row r="917" spans="1:10" x14ac:dyDescent="0.35">
      <c r="A917" s="1">
        <v>45169</v>
      </c>
      <c r="B917" t="s">
        <v>14</v>
      </c>
      <c r="C917" t="s">
        <v>12</v>
      </c>
      <c r="D917">
        <v>3634</v>
      </c>
      <c r="E917">
        <v>1972</v>
      </c>
      <c r="F917">
        <v>1097</v>
      </c>
      <c r="G917">
        <v>23</v>
      </c>
      <c r="H917">
        <v>699</v>
      </c>
      <c r="I917">
        <v>175.84</v>
      </c>
      <c r="J917">
        <v>368</v>
      </c>
    </row>
    <row r="918" spans="1:10" x14ac:dyDescent="0.35">
      <c r="A918" s="1">
        <v>45169</v>
      </c>
      <c r="B918" t="s">
        <v>15</v>
      </c>
      <c r="C918" t="s">
        <v>11</v>
      </c>
      <c r="D918">
        <v>3885</v>
      </c>
      <c r="E918">
        <v>1100</v>
      </c>
      <c r="F918">
        <v>2244</v>
      </c>
      <c r="G918">
        <v>10</v>
      </c>
      <c r="H918">
        <v>50</v>
      </c>
      <c r="I918">
        <v>137.03</v>
      </c>
      <c r="J918">
        <v>1181</v>
      </c>
    </row>
    <row r="919" spans="1:10" x14ac:dyDescent="0.35">
      <c r="A919" s="1">
        <v>45169</v>
      </c>
      <c r="B919" t="s">
        <v>15</v>
      </c>
      <c r="C919" t="s">
        <v>12</v>
      </c>
      <c r="D919">
        <v>3789</v>
      </c>
      <c r="E919">
        <v>2279</v>
      </c>
      <c r="F919">
        <v>1523</v>
      </c>
      <c r="G919">
        <v>23</v>
      </c>
      <c r="H919">
        <v>70</v>
      </c>
      <c r="I919">
        <v>145.43</v>
      </c>
      <c r="J919">
        <v>950</v>
      </c>
    </row>
    <row r="920" spans="1:10" x14ac:dyDescent="0.35">
      <c r="A920" s="1">
        <v>45169</v>
      </c>
      <c r="B920" t="s">
        <v>16</v>
      </c>
      <c r="C920" t="s">
        <v>11</v>
      </c>
      <c r="D920">
        <v>8759</v>
      </c>
      <c r="E920">
        <v>3220</v>
      </c>
      <c r="F920">
        <v>4247</v>
      </c>
      <c r="G920">
        <v>42</v>
      </c>
      <c r="H920">
        <v>35</v>
      </c>
      <c r="I920">
        <v>34.39</v>
      </c>
      <c r="J920">
        <v>2197</v>
      </c>
    </row>
    <row r="921" spans="1:10" x14ac:dyDescent="0.35">
      <c r="A921" s="1">
        <v>45169</v>
      </c>
      <c r="B921" t="s">
        <v>16</v>
      </c>
      <c r="C921" t="s">
        <v>12</v>
      </c>
      <c r="D921">
        <v>7387</v>
      </c>
      <c r="E921">
        <v>5863</v>
      </c>
      <c r="F921">
        <v>3205</v>
      </c>
      <c r="G921">
        <v>91</v>
      </c>
      <c r="H921">
        <v>121</v>
      </c>
      <c r="I921">
        <v>100.82</v>
      </c>
      <c r="J921">
        <v>1756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6BFE9-E88D-4ACD-BC0E-37A0657F4D93}">
  <dimension ref="A1:O95"/>
  <sheetViews>
    <sheetView zoomScale="77" zoomScaleNormal="77" workbookViewId="0">
      <selection activeCell="N13" sqref="N13"/>
    </sheetView>
  </sheetViews>
  <sheetFormatPr baseColWidth="10" defaultColWidth="8.6328125" defaultRowHeight="14.5" x14ac:dyDescent="0.35"/>
  <cols>
    <col min="2" max="2" width="12.453125" bestFit="1" customWidth="1"/>
    <col min="3" max="3" width="22.453125" bestFit="1" customWidth="1"/>
    <col min="4" max="4" width="23.08984375" bestFit="1" customWidth="1"/>
    <col min="14" max="14" width="46.453125" customWidth="1"/>
    <col min="15" max="15" width="70.6328125" customWidth="1"/>
  </cols>
  <sheetData>
    <row r="1" spans="1:15" ht="18.5" x14ac:dyDescent="0.45">
      <c r="M1" s="3"/>
      <c r="N1" s="5" t="s">
        <v>113</v>
      </c>
      <c r="O1" s="5">
        <f>SUM(nexalink[Uninstalls])/SUM(nexalink[Total_App_Installs])</f>
        <v>7.1610634133463793E-3</v>
      </c>
    </row>
    <row r="2" spans="1:15" ht="18.5" x14ac:dyDescent="0.45">
      <c r="A2" s="7"/>
      <c r="B2" s="7" t="s">
        <v>17</v>
      </c>
      <c r="C2" s="7" t="s">
        <v>19</v>
      </c>
      <c r="D2" s="7" t="s">
        <v>20</v>
      </c>
      <c r="M2" s="3"/>
      <c r="N2" s="5" t="s">
        <v>114</v>
      </c>
      <c r="O2" s="5">
        <f>SUM(nexalink[Number_of_App_Crashes])/SUM(nexalink[Daily_Active_Users])</f>
        <v>4.3566873611887776E-2</v>
      </c>
    </row>
    <row r="3" spans="1:15" ht="18.5" x14ac:dyDescent="0.45">
      <c r="B3" s="2" t="s">
        <v>21</v>
      </c>
      <c r="C3">
        <v>5862</v>
      </c>
      <c r="D3">
        <v>3087</v>
      </c>
      <c r="M3" s="3"/>
      <c r="N3" s="5" t="s">
        <v>115</v>
      </c>
      <c r="O3" s="5">
        <f>SUM(nexalink[User_Sign_Ups])/SUM(nexalink[Total_App_Installs])</f>
        <v>0.62938416317206036</v>
      </c>
    </row>
    <row r="4" spans="1:15" ht="18.5" x14ac:dyDescent="0.45">
      <c r="B4" s="2" t="s">
        <v>22</v>
      </c>
      <c r="C4">
        <v>4876</v>
      </c>
      <c r="D4">
        <v>1736</v>
      </c>
      <c r="M4" s="4"/>
      <c r="N4" s="6" t="s">
        <v>116</v>
      </c>
      <c r="O4" s="6">
        <f>SUM(nexalink[Num_Transactions])</f>
        <v>1390660</v>
      </c>
    </row>
    <row r="5" spans="1:15" ht="18.5" x14ac:dyDescent="0.45">
      <c r="B5" s="2" t="s">
        <v>23</v>
      </c>
      <c r="C5">
        <v>4262</v>
      </c>
      <c r="D5">
        <v>2553</v>
      </c>
      <c r="M5" s="4"/>
      <c r="N5" s="6" t="s">
        <v>117</v>
      </c>
      <c r="O5" s="6">
        <f>AVERAGE(nexalink[Avg_Time_Spent_per_User_min])</f>
        <v>97.701402173913024</v>
      </c>
    </row>
    <row r="6" spans="1:15" x14ac:dyDescent="0.35">
      <c r="B6" s="2" t="s">
        <v>24</v>
      </c>
      <c r="C6">
        <v>2069</v>
      </c>
      <c r="D6">
        <v>1037</v>
      </c>
    </row>
    <row r="7" spans="1:15" x14ac:dyDescent="0.35">
      <c r="B7" s="2" t="s">
        <v>25</v>
      </c>
      <c r="C7">
        <v>2552</v>
      </c>
      <c r="D7">
        <v>854</v>
      </c>
    </row>
    <row r="8" spans="1:15" x14ac:dyDescent="0.35">
      <c r="B8" s="2" t="s">
        <v>26</v>
      </c>
      <c r="C8">
        <v>5819</v>
      </c>
      <c r="D8">
        <v>2265</v>
      </c>
    </row>
    <row r="9" spans="1:15" x14ac:dyDescent="0.35">
      <c r="B9" s="2" t="s">
        <v>27</v>
      </c>
      <c r="C9">
        <v>2753</v>
      </c>
      <c r="D9">
        <v>2887</v>
      </c>
    </row>
    <row r="10" spans="1:15" x14ac:dyDescent="0.35">
      <c r="B10" s="2" t="s">
        <v>28</v>
      </c>
      <c r="C10">
        <v>5829</v>
      </c>
      <c r="D10">
        <v>2659</v>
      </c>
    </row>
    <row r="11" spans="1:15" x14ac:dyDescent="0.35">
      <c r="B11" s="2" t="s">
        <v>29</v>
      </c>
      <c r="C11">
        <v>5501</v>
      </c>
      <c r="D11">
        <v>2636</v>
      </c>
    </row>
    <row r="12" spans="1:15" x14ac:dyDescent="0.35">
      <c r="B12" s="2" t="s">
        <v>30</v>
      </c>
      <c r="C12">
        <v>5624</v>
      </c>
      <c r="D12">
        <v>3320</v>
      </c>
    </row>
    <row r="13" spans="1:15" x14ac:dyDescent="0.35">
      <c r="B13" s="2" t="s">
        <v>31</v>
      </c>
      <c r="C13">
        <v>4334</v>
      </c>
      <c r="D13">
        <v>2278</v>
      </c>
    </row>
    <row r="14" spans="1:15" x14ac:dyDescent="0.35">
      <c r="B14" s="2" t="s">
        <v>32</v>
      </c>
      <c r="C14">
        <v>5468</v>
      </c>
      <c r="D14">
        <v>2048</v>
      </c>
    </row>
    <row r="15" spans="1:15" x14ac:dyDescent="0.35">
      <c r="B15" s="2" t="s">
        <v>33</v>
      </c>
      <c r="C15">
        <v>4232</v>
      </c>
      <c r="D15">
        <v>2403</v>
      </c>
    </row>
    <row r="16" spans="1:15" x14ac:dyDescent="0.35">
      <c r="B16" s="2" t="s">
        <v>34</v>
      </c>
      <c r="C16">
        <v>3815</v>
      </c>
      <c r="D16">
        <v>2107</v>
      </c>
    </row>
    <row r="17" spans="2:4" x14ac:dyDescent="0.35">
      <c r="B17" s="2" t="s">
        <v>35</v>
      </c>
      <c r="C17">
        <v>4051</v>
      </c>
      <c r="D17">
        <v>1215</v>
      </c>
    </row>
    <row r="18" spans="2:4" x14ac:dyDescent="0.35">
      <c r="B18" s="2" t="s">
        <v>36</v>
      </c>
      <c r="C18">
        <v>1865</v>
      </c>
      <c r="D18">
        <v>1013</v>
      </c>
    </row>
    <row r="19" spans="2:4" x14ac:dyDescent="0.35">
      <c r="B19" s="2" t="s">
        <v>37</v>
      </c>
      <c r="C19">
        <v>2871</v>
      </c>
      <c r="D19">
        <v>1714</v>
      </c>
    </row>
    <row r="20" spans="2:4" x14ac:dyDescent="0.35">
      <c r="B20" s="2" t="s">
        <v>38</v>
      </c>
      <c r="C20">
        <v>5116</v>
      </c>
      <c r="D20">
        <v>2271</v>
      </c>
    </row>
    <row r="21" spans="2:4" x14ac:dyDescent="0.35">
      <c r="B21" s="2" t="s">
        <v>39</v>
      </c>
      <c r="C21">
        <v>4849</v>
      </c>
      <c r="D21">
        <v>1560</v>
      </c>
    </row>
    <row r="22" spans="2:4" x14ac:dyDescent="0.35">
      <c r="B22" s="2" t="s">
        <v>40</v>
      </c>
      <c r="C22">
        <v>2570</v>
      </c>
      <c r="D22">
        <v>1437</v>
      </c>
    </row>
    <row r="23" spans="2:4" x14ac:dyDescent="0.35">
      <c r="B23" s="2" t="s">
        <v>41</v>
      </c>
      <c r="C23">
        <v>4213</v>
      </c>
      <c r="D23">
        <v>3639</v>
      </c>
    </row>
    <row r="24" spans="2:4" x14ac:dyDescent="0.35">
      <c r="B24" s="2" t="s">
        <v>42</v>
      </c>
      <c r="C24">
        <v>4839</v>
      </c>
      <c r="D24">
        <v>2200</v>
      </c>
    </row>
    <row r="25" spans="2:4" x14ac:dyDescent="0.35">
      <c r="B25" s="2" t="s">
        <v>43</v>
      </c>
      <c r="C25">
        <v>1698</v>
      </c>
      <c r="D25">
        <v>941</v>
      </c>
    </row>
    <row r="26" spans="2:4" x14ac:dyDescent="0.35">
      <c r="B26" s="2" t="s">
        <v>44</v>
      </c>
      <c r="C26">
        <v>2259</v>
      </c>
      <c r="D26">
        <v>1111</v>
      </c>
    </row>
    <row r="27" spans="2:4" x14ac:dyDescent="0.35">
      <c r="B27" s="2" t="s">
        <v>45</v>
      </c>
      <c r="C27">
        <v>4121</v>
      </c>
      <c r="D27">
        <v>1825</v>
      </c>
    </row>
    <row r="28" spans="2:4" x14ac:dyDescent="0.35">
      <c r="B28" s="2" t="s">
        <v>46</v>
      </c>
      <c r="C28">
        <v>5421</v>
      </c>
      <c r="D28">
        <v>1781</v>
      </c>
    </row>
    <row r="29" spans="2:4" x14ac:dyDescent="0.35">
      <c r="B29" s="2" t="s">
        <v>47</v>
      </c>
      <c r="C29">
        <v>3057</v>
      </c>
      <c r="D29">
        <v>1255</v>
      </c>
    </row>
    <row r="30" spans="2:4" x14ac:dyDescent="0.35">
      <c r="B30" s="2" t="s">
        <v>48</v>
      </c>
      <c r="C30">
        <v>2129</v>
      </c>
      <c r="D30">
        <v>1089</v>
      </c>
    </row>
    <row r="31" spans="2:4" x14ac:dyDescent="0.35">
      <c r="B31" s="2" t="s">
        <v>49</v>
      </c>
      <c r="C31">
        <v>5442</v>
      </c>
      <c r="D31">
        <v>1985</v>
      </c>
    </row>
    <row r="32" spans="2:4" x14ac:dyDescent="0.35">
      <c r="B32" s="2" t="s">
        <v>50</v>
      </c>
      <c r="C32">
        <v>4130</v>
      </c>
      <c r="D32">
        <v>2137</v>
      </c>
    </row>
    <row r="33" spans="2:4" x14ac:dyDescent="0.35">
      <c r="B33" s="2" t="s">
        <v>51</v>
      </c>
      <c r="C33">
        <v>3510</v>
      </c>
      <c r="D33">
        <v>1629</v>
      </c>
    </row>
    <row r="34" spans="2:4" x14ac:dyDescent="0.35">
      <c r="B34" s="2" t="s">
        <v>52</v>
      </c>
      <c r="C34">
        <v>5240</v>
      </c>
      <c r="D34">
        <v>1736</v>
      </c>
    </row>
    <row r="35" spans="2:4" x14ac:dyDescent="0.35">
      <c r="B35" s="2" t="s">
        <v>53</v>
      </c>
      <c r="C35">
        <v>1781</v>
      </c>
      <c r="D35">
        <v>1790</v>
      </c>
    </row>
    <row r="36" spans="2:4" x14ac:dyDescent="0.35">
      <c r="B36" s="2" t="s">
        <v>54</v>
      </c>
      <c r="C36">
        <v>3223</v>
      </c>
      <c r="D36">
        <v>2207</v>
      </c>
    </row>
    <row r="37" spans="2:4" x14ac:dyDescent="0.35">
      <c r="B37" s="2" t="s">
        <v>55</v>
      </c>
      <c r="C37">
        <v>5668</v>
      </c>
      <c r="D37">
        <v>3368</v>
      </c>
    </row>
    <row r="38" spans="2:4" x14ac:dyDescent="0.35">
      <c r="B38" s="2" t="s">
        <v>56</v>
      </c>
      <c r="C38">
        <v>2139</v>
      </c>
      <c r="D38">
        <v>1904</v>
      </c>
    </row>
    <row r="39" spans="2:4" x14ac:dyDescent="0.35">
      <c r="B39" s="2" t="s">
        <v>57</v>
      </c>
      <c r="C39">
        <v>2084</v>
      </c>
      <c r="D39">
        <v>1065</v>
      </c>
    </row>
    <row r="40" spans="2:4" x14ac:dyDescent="0.35">
      <c r="B40" s="2" t="s">
        <v>58</v>
      </c>
      <c r="C40">
        <v>5085</v>
      </c>
      <c r="D40">
        <v>2833</v>
      </c>
    </row>
    <row r="41" spans="2:4" x14ac:dyDescent="0.35">
      <c r="B41" s="2" t="s">
        <v>59</v>
      </c>
      <c r="C41">
        <v>3426</v>
      </c>
      <c r="D41">
        <v>1982</v>
      </c>
    </row>
    <row r="42" spans="2:4" x14ac:dyDescent="0.35">
      <c r="B42" s="2" t="s">
        <v>60</v>
      </c>
      <c r="C42">
        <v>2235</v>
      </c>
      <c r="D42">
        <v>1308</v>
      </c>
    </row>
    <row r="43" spans="2:4" x14ac:dyDescent="0.35">
      <c r="B43" s="2" t="s">
        <v>61</v>
      </c>
      <c r="C43">
        <v>5647</v>
      </c>
      <c r="D43">
        <v>2980</v>
      </c>
    </row>
    <row r="44" spans="2:4" x14ac:dyDescent="0.35">
      <c r="B44" s="2" t="s">
        <v>62</v>
      </c>
      <c r="C44">
        <v>2172</v>
      </c>
      <c r="D44">
        <v>1942</v>
      </c>
    </row>
    <row r="45" spans="2:4" x14ac:dyDescent="0.35">
      <c r="B45" s="2" t="s">
        <v>63</v>
      </c>
      <c r="C45">
        <v>1955</v>
      </c>
      <c r="D45">
        <v>1854</v>
      </c>
    </row>
    <row r="46" spans="2:4" x14ac:dyDescent="0.35">
      <c r="B46" s="2" t="s">
        <v>64</v>
      </c>
      <c r="C46">
        <v>4763</v>
      </c>
      <c r="D46">
        <v>2207</v>
      </c>
    </row>
    <row r="47" spans="2:4" x14ac:dyDescent="0.35">
      <c r="B47" s="2" t="s">
        <v>65</v>
      </c>
      <c r="C47">
        <v>2278</v>
      </c>
      <c r="D47">
        <v>1226</v>
      </c>
    </row>
    <row r="48" spans="2:4" x14ac:dyDescent="0.35">
      <c r="B48" s="2" t="s">
        <v>66</v>
      </c>
      <c r="C48">
        <v>5901</v>
      </c>
      <c r="D48">
        <v>2276</v>
      </c>
    </row>
    <row r="49" spans="2:4" x14ac:dyDescent="0.35">
      <c r="B49" s="2" t="s">
        <v>67</v>
      </c>
      <c r="C49">
        <v>2273</v>
      </c>
      <c r="D49">
        <v>2059</v>
      </c>
    </row>
    <row r="50" spans="2:4" x14ac:dyDescent="0.35">
      <c r="B50" s="2" t="s">
        <v>68</v>
      </c>
      <c r="C50">
        <v>5003</v>
      </c>
      <c r="D50">
        <v>2645</v>
      </c>
    </row>
    <row r="51" spans="2:4" x14ac:dyDescent="0.35">
      <c r="B51" s="2" t="s">
        <v>69</v>
      </c>
      <c r="C51">
        <v>5921</v>
      </c>
      <c r="D51">
        <v>1481</v>
      </c>
    </row>
    <row r="52" spans="2:4" x14ac:dyDescent="0.35">
      <c r="B52" s="2" t="s">
        <v>70</v>
      </c>
      <c r="C52">
        <v>3397</v>
      </c>
      <c r="D52">
        <v>1758</v>
      </c>
    </row>
    <row r="53" spans="2:4" x14ac:dyDescent="0.35">
      <c r="B53" s="2" t="s">
        <v>71</v>
      </c>
      <c r="C53">
        <v>2439</v>
      </c>
      <c r="D53">
        <v>1423</v>
      </c>
    </row>
    <row r="54" spans="2:4" x14ac:dyDescent="0.35">
      <c r="B54" s="2" t="s">
        <v>72</v>
      </c>
      <c r="C54">
        <v>5097</v>
      </c>
      <c r="D54">
        <v>3002</v>
      </c>
    </row>
    <row r="55" spans="2:4" x14ac:dyDescent="0.35">
      <c r="B55" s="2" t="s">
        <v>73</v>
      </c>
      <c r="C55">
        <v>4463</v>
      </c>
      <c r="D55">
        <v>2090</v>
      </c>
    </row>
    <row r="56" spans="2:4" x14ac:dyDescent="0.35">
      <c r="B56" s="2" t="s">
        <v>74</v>
      </c>
      <c r="C56">
        <v>4403</v>
      </c>
      <c r="D56">
        <v>1475</v>
      </c>
    </row>
    <row r="57" spans="2:4" x14ac:dyDescent="0.35">
      <c r="B57" s="2" t="s">
        <v>75</v>
      </c>
      <c r="C57">
        <v>2715</v>
      </c>
      <c r="D57">
        <v>1185</v>
      </c>
    </row>
    <row r="58" spans="2:4" x14ac:dyDescent="0.35">
      <c r="B58" s="2" t="s">
        <v>76</v>
      </c>
      <c r="C58">
        <v>1791</v>
      </c>
      <c r="D58">
        <v>2158</v>
      </c>
    </row>
    <row r="59" spans="2:4" x14ac:dyDescent="0.35">
      <c r="B59" s="2" t="s">
        <v>77</v>
      </c>
      <c r="C59">
        <v>4297</v>
      </c>
      <c r="D59">
        <v>1409</v>
      </c>
    </row>
    <row r="60" spans="2:4" x14ac:dyDescent="0.35">
      <c r="B60" s="2" t="s">
        <v>78</v>
      </c>
      <c r="C60">
        <v>5399</v>
      </c>
      <c r="D60">
        <v>2976</v>
      </c>
    </row>
    <row r="61" spans="2:4" x14ac:dyDescent="0.35">
      <c r="B61" s="2" t="s">
        <v>79</v>
      </c>
      <c r="C61">
        <v>2770</v>
      </c>
      <c r="D61">
        <v>2131</v>
      </c>
    </row>
    <row r="62" spans="2:4" x14ac:dyDescent="0.35">
      <c r="B62" s="2" t="s">
        <v>80</v>
      </c>
      <c r="C62">
        <v>1863</v>
      </c>
      <c r="D62">
        <v>1889</v>
      </c>
    </row>
    <row r="63" spans="2:4" x14ac:dyDescent="0.35">
      <c r="B63" s="2" t="s">
        <v>81</v>
      </c>
      <c r="C63">
        <v>4904</v>
      </c>
      <c r="D63">
        <v>2267</v>
      </c>
    </row>
    <row r="64" spans="2:4" x14ac:dyDescent="0.35">
      <c r="B64" s="2" t="s">
        <v>82</v>
      </c>
      <c r="C64">
        <v>3273</v>
      </c>
      <c r="D64">
        <v>1215</v>
      </c>
    </row>
    <row r="65" spans="2:4" x14ac:dyDescent="0.35">
      <c r="B65" s="2" t="s">
        <v>83</v>
      </c>
      <c r="C65">
        <v>5670</v>
      </c>
      <c r="D65">
        <v>3252</v>
      </c>
    </row>
    <row r="66" spans="2:4" x14ac:dyDescent="0.35">
      <c r="B66" s="2" t="s">
        <v>84</v>
      </c>
      <c r="C66">
        <v>4717</v>
      </c>
      <c r="D66">
        <v>2123</v>
      </c>
    </row>
    <row r="67" spans="2:4" x14ac:dyDescent="0.35">
      <c r="B67" s="2" t="s">
        <v>85</v>
      </c>
      <c r="C67">
        <v>4501</v>
      </c>
      <c r="D67">
        <v>2435</v>
      </c>
    </row>
    <row r="68" spans="2:4" x14ac:dyDescent="0.35">
      <c r="B68" s="2" t="s">
        <v>86</v>
      </c>
      <c r="C68">
        <v>2265</v>
      </c>
      <c r="D68">
        <v>2110</v>
      </c>
    </row>
    <row r="69" spans="2:4" x14ac:dyDescent="0.35">
      <c r="B69" s="2" t="s">
        <v>87</v>
      </c>
      <c r="C69">
        <v>3429</v>
      </c>
      <c r="D69">
        <v>1860</v>
      </c>
    </row>
    <row r="70" spans="2:4" x14ac:dyDescent="0.35">
      <c r="B70" s="2" t="s">
        <v>88</v>
      </c>
      <c r="C70">
        <v>4121</v>
      </c>
      <c r="D70">
        <v>2158</v>
      </c>
    </row>
    <row r="71" spans="2:4" x14ac:dyDescent="0.35">
      <c r="B71" s="2" t="s">
        <v>89</v>
      </c>
      <c r="C71">
        <v>1799</v>
      </c>
      <c r="D71">
        <v>2016</v>
      </c>
    </row>
    <row r="72" spans="2:4" x14ac:dyDescent="0.35">
      <c r="B72" s="2" t="s">
        <v>90</v>
      </c>
      <c r="C72">
        <v>3110</v>
      </c>
      <c r="D72">
        <v>1374</v>
      </c>
    </row>
    <row r="73" spans="2:4" x14ac:dyDescent="0.35">
      <c r="B73" s="2" t="s">
        <v>91</v>
      </c>
      <c r="C73">
        <v>4071</v>
      </c>
      <c r="D73">
        <v>1298</v>
      </c>
    </row>
    <row r="74" spans="2:4" x14ac:dyDescent="0.35">
      <c r="B74" s="2" t="s">
        <v>92</v>
      </c>
      <c r="C74">
        <v>5555</v>
      </c>
      <c r="D74">
        <v>2943</v>
      </c>
    </row>
    <row r="75" spans="2:4" x14ac:dyDescent="0.35">
      <c r="B75" s="2" t="s">
        <v>93</v>
      </c>
      <c r="C75">
        <v>2760</v>
      </c>
      <c r="D75">
        <v>2151</v>
      </c>
    </row>
    <row r="76" spans="2:4" x14ac:dyDescent="0.35">
      <c r="B76" s="2" t="s">
        <v>94</v>
      </c>
      <c r="C76">
        <v>1914</v>
      </c>
      <c r="D76">
        <v>2087</v>
      </c>
    </row>
    <row r="77" spans="2:4" x14ac:dyDescent="0.35">
      <c r="B77" s="2" t="s">
        <v>95</v>
      </c>
      <c r="C77">
        <v>5315</v>
      </c>
      <c r="D77">
        <v>1686</v>
      </c>
    </row>
    <row r="78" spans="2:4" x14ac:dyDescent="0.35">
      <c r="B78" s="2" t="s">
        <v>96</v>
      </c>
      <c r="C78">
        <v>3095</v>
      </c>
      <c r="D78">
        <v>1717</v>
      </c>
    </row>
    <row r="79" spans="2:4" x14ac:dyDescent="0.35">
      <c r="B79" s="2" t="s">
        <v>97</v>
      </c>
      <c r="C79">
        <v>4536</v>
      </c>
      <c r="D79">
        <v>1431</v>
      </c>
    </row>
    <row r="80" spans="2:4" x14ac:dyDescent="0.35">
      <c r="B80" s="2" t="s">
        <v>98</v>
      </c>
      <c r="C80">
        <v>2748</v>
      </c>
      <c r="D80">
        <v>1357</v>
      </c>
    </row>
    <row r="81" spans="2:4" x14ac:dyDescent="0.35">
      <c r="B81" s="2" t="s">
        <v>99</v>
      </c>
      <c r="C81">
        <v>3058</v>
      </c>
      <c r="D81">
        <v>1804</v>
      </c>
    </row>
    <row r="82" spans="2:4" x14ac:dyDescent="0.35">
      <c r="B82" s="2" t="s">
        <v>100</v>
      </c>
      <c r="C82">
        <v>2478</v>
      </c>
      <c r="D82">
        <v>2025</v>
      </c>
    </row>
    <row r="83" spans="2:4" x14ac:dyDescent="0.35">
      <c r="B83" s="2" t="s">
        <v>101</v>
      </c>
      <c r="C83">
        <v>4424</v>
      </c>
      <c r="D83">
        <v>1608</v>
      </c>
    </row>
    <row r="84" spans="2:4" x14ac:dyDescent="0.35">
      <c r="B84" s="2" t="s">
        <v>102</v>
      </c>
      <c r="C84">
        <v>3948</v>
      </c>
      <c r="D84">
        <v>1798</v>
      </c>
    </row>
    <row r="85" spans="2:4" x14ac:dyDescent="0.35">
      <c r="B85" s="2" t="s">
        <v>103</v>
      </c>
      <c r="C85">
        <v>4057</v>
      </c>
      <c r="D85">
        <v>1712</v>
      </c>
    </row>
    <row r="86" spans="2:4" x14ac:dyDescent="0.35">
      <c r="B86" s="2" t="s">
        <v>104</v>
      </c>
      <c r="C86">
        <v>1745</v>
      </c>
      <c r="D86">
        <v>2055</v>
      </c>
    </row>
    <row r="87" spans="2:4" x14ac:dyDescent="0.35">
      <c r="B87" s="2" t="s">
        <v>105</v>
      </c>
      <c r="C87">
        <v>5143</v>
      </c>
      <c r="D87">
        <v>2382</v>
      </c>
    </row>
    <row r="88" spans="2:4" x14ac:dyDescent="0.35">
      <c r="B88" s="2" t="s">
        <v>106</v>
      </c>
      <c r="C88">
        <v>1668</v>
      </c>
      <c r="D88">
        <v>2211</v>
      </c>
    </row>
    <row r="89" spans="2:4" x14ac:dyDescent="0.35">
      <c r="B89" s="2" t="s">
        <v>107</v>
      </c>
      <c r="C89">
        <v>5819</v>
      </c>
      <c r="D89">
        <v>3140</v>
      </c>
    </row>
    <row r="90" spans="2:4" x14ac:dyDescent="0.35">
      <c r="B90" s="2" t="s">
        <v>108</v>
      </c>
      <c r="C90">
        <v>5890</v>
      </c>
      <c r="D90">
        <v>2455</v>
      </c>
    </row>
    <row r="91" spans="2:4" x14ac:dyDescent="0.35">
      <c r="B91" s="2" t="s">
        <v>109</v>
      </c>
      <c r="C91">
        <v>4061</v>
      </c>
      <c r="D91">
        <v>1791</v>
      </c>
    </row>
    <row r="92" spans="2:4" x14ac:dyDescent="0.35">
      <c r="B92" s="2" t="s">
        <v>110</v>
      </c>
      <c r="C92">
        <v>4211</v>
      </c>
      <c r="D92">
        <v>2104</v>
      </c>
    </row>
    <row r="93" spans="2:4" x14ac:dyDescent="0.35">
      <c r="B93" s="2" t="s">
        <v>111</v>
      </c>
      <c r="C93">
        <v>3968</v>
      </c>
      <c r="D93">
        <v>2280</v>
      </c>
    </row>
    <row r="94" spans="2:4" x14ac:dyDescent="0.35">
      <c r="B94" s="2" t="s">
        <v>112</v>
      </c>
      <c r="C94">
        <v>3885</v>
      </c>
      <c r="D94">
        <v>2244</v>
      </c>
    </row>
    <row r="95" spans="2:4" x14ac:dyDescent="0.35">
      <c r="B95" s="2" t="s">
        <v>18</v>
      </c>
      <c r="C95">
        <v>352703</v>
      </c>
      <c r="D95">
        <v>184120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F72A513-0F06-46AC-8F53-A2E7B00F2BE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Data_Raw</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Aminata sow</dc:creator>
  <cp:lastModifiedBy>Aminata sow</cp:lastModifiedBy>
  <dcterms:created xsi:type="dcterms:W3CDTF">2026-09-01T11:16:07Z</dcterms:created>
  <dcterms:modified xsi:type="dcterms:W3CDTF">2026-09-05T12:19:22Z</dcterms:modified>
</cp:coreProperties>
</file>